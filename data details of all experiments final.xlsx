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hlorothalonil\chlorothalonil\Paper\"/>
    </mc:Choice>
  </mc:AlternateContent>
  <xr:revisionPtr revIDLastSave="0" documentId="13_ncr:1_{084664A6-889D-4993-8539-A539C8ED7050}" xr6:coauthVersionLast="36" xr6:coauthVersionMax="36" xr10:uidLastSave="{00000000-0000-0000-0000-000000000000}"/>
  <bookViews>
    <workbookView xWindow="0" yWindow="0" windowWidth="28800" windowHeight="11625" activeTab="7" xr2:uid="{53928701-8F5B-4A22-A1DF-397EC2EA270C}"/>
  </bookViews>
  <sheets>
    <sheet name="summary" sheetId="8" r:id="rId1"/>
    <sheet name="exp 1" sheetId="6" r:id="rId2"/>
    <sheet name="exp 2 filtered guts" sheetId="5" r:id="rId3"/>
    <sheet name="exp 3 hormesis - add to gut" sheetId="1" r:id="rId4"/>
    <sheet name="exp 4 hormesis - add to food" sheetId="7" r:id="rId5"/>
    <sheet name="exp 5" sheetId="2" r:id="rId6"/>
    <sheet name="exp 6" sheetId="3" r:id="rId7"/>
    <sheet name="exp 7" sheetId="4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2" i="4" l="1"/>
  <c r="N34" i="4"/>
  <c r="N35" i="4"/>
  <c r="N36" i="4"/>
  <c r="N37" i="4"/>
  <c r="N38" i="4"/>
  <c r="N39" i="4"/>
  <c r="N40" i="4"/>
  <c r="N41" i="4"/>
  <c r="N33" i="4"/>
  <c r="L34" i="4"/>
  <c r="L35" i="4"/>
  <c r="L36" i="4"/>
  <c r="L37" i="4"/>
  <c r="L38" i="4"/>
  <c r="L39" i="4"/>
  <c r="L40" i="4"/>
  <c r="L41" i="4"/>
  <c r="L42" i="4"/>
  <c r="L33" i="4"/>
  <c r="K18" i="4"/>
  <c r="K19" i="4"/>
  <c r="K20" i="4"/>
  <c r="K21" i="4"/>
  <c r="K22" i="4"/>
  <c r="K23" i="4"/>
  <c r="K24" i="4"/>
  <c r="K25" i="4"/>
  <c r="K26" i="4"/>
  <c r="K17" i="4"/>
  <c r="K4" i="4"/>
  <c r="K5" i="4"/>
  <c r="K6" i="4"/>
  <c r="K7" i="4"/>
  <c r="K8" i="4"/>
  <c r="K9" i="4"/>
  <c r="K10" i="4"/>
  <c r="K3" i="4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" i="3"/>
  <c r="N20" i="2"/>
  <c r="N21" i="2"/>
  <c r="N22" i="2"/>
  <c r="N23" i="2"/>
  <c r="N24" i="2"/>
  <c r="N25" i="2"/>
  <c r="N26" i="2"/>
  <c r="N27" i="2"/>
  <c r="N28" i="2"/>
  <c r="N19" i="2"/>
  <c r="H4" i="2"/>
  <c r="H5" i="2"/>
  <c r="H6" i="2"/>
  <c r="H7" i="2"/>
  <c r="H8" i="2"/>
  <c r="H9" i="2"/>
  <c r="H11" i="2"/>
  <c r="H12" i="2"/>
  <c r="H3" i="2"/>
  <c r="K5" i="7"/>
  <c r="K6" i="7"/>
  <c r="K7" i="7"/>
  <c r="K8" i="7"/>
  <c r="K9" i="7"/>
  <c r="K10" i="7"/>
  <c r="K11" i="7"/>
  <c r="K4" i="7"/>
  <c r="J4" i="1"/>
  <c r="J5" i="1"/>
  <c r="J6" i="1"/>
  <c r="J7" i="1"/>
  <c r="J8" i="1"/>
  <c r="J3" i="1"/>
  <c r="J3" i="5"/>
  <c r="J4" i="5"/>
  <c r="J5" i="5"/>
  <c r="J6" i="5"/>
  <c r="J7" i="5"/>
  <c r="J8" i="5"/>
  <c r="J9" i="5"/>
  <c r="J2" i="5"/>
  <c r="P21" i="6"/>
  <c r="P22" i="6"/>
  <c r="P23" i="6"/>
  <c r="P24" i="6"/>
  <c r="P25" i="6"/>
  <c r="P20" i="6"/>
  <c r="P12" i="6"/>
  <c r="P13" i="6"/>
  <c r="P14" i="6"/>
  <c r="P15" i="6"/>
  <c r="P16" i="6"/>
  <c r="P11" i="6"/>
  <c r="P3" i="6"/>
  <c r="P4" i="6"/>
  <c r="P5" i="6"/>
  <c r="P6" i="6"/>
  <c r="P7" i="6"/>
  <c r="P2" i="6"/>
  <c r="L21" i="6" l="1"/>
  <c r="L22" i="6"/>
  <c r="L23" i="6"/>
  <c r="L24" i="6"/>
  <c r="L25" i="6"/>
  <c r="L20" i="6"/>
  <c r="K20" i="2"/>
  <c r="K21" i="2"/>
  <c r="K22" i="2"/>
  <c r="K23" i="2"/>
  <c r="K24" i="2"/>
  <c r="K25" i="2"/>
  <c r="K26" i="2"/>
  <c r="K27" i="2"/>
  <c r="K28" i="2"/>
  <c r="K19" i="2"/>
  <c r="F23" i="3" l="1"/>
  <c r="F24" i="3"/>
  <c r="F25" i="3"/>
  <c r="F26" i="3"/>
  <c r="F27" i="3"/>
  <c r="F28" i="3"/>
  <c r="F29" i="3"/>
  <c r="F30" i="3"/>
  <c r="F31" i="3"/>
  <c r="F32" i="3"/>
  <c r="F33" i="3"/>
  <c r="F34" i="3"/>
  <c r="F35" i="3"/>
  <c r="F22" i="3"/>
  <c r="G8" i="5" l="1"/>
  <c r="G9" i="5"/>
  <c r="G3" i="5"/>
  <c r="G4" i="5"/>
  <c r="G5" i="5"/>
  <c r="G6" i="5"/>
  <c r="G7" i="5"/>
  <c r="G2" i="5"/>
  <c r="H5" i="7"/>
  <c r="H6" i="7"/>
  <c r="H7" i="7"/>
  <c r="H8" i="7"/>
  <c r="H9" i="7"/>
  <c r="H10" i="7"/>
  <c r="H11" i="7"/>
  <c r="H4" i="7"/>
  <c r="G4" i="1"/>
  <c r="G5" i="1"/>
  <c r="G6" i="1"/>
  <c r="G7" i="1"/>
  <c r="G8" i="1"/>
  <c r="G3" i="1"/>
</calcChain>
</file>

<file path=xl/sharedStrings.xml><?xml version="1.0" encoding="utf-8"?>
<sst xmlns="http://schemas.openxmlformats.org/spreadsheetml/2006/main" count="325" uniqueCount="142">
  <si>
    <t>control 1</t>
  </si>
  <si>
    <t>control 2</t>
  </si>
  <si>
    <t>control 3</t>
  </si>
  <si>
    <t>control 4</t>
  </si>
  <si>
    <t>control 5</t>
  </si>
  <si>
    <t>&lt;- escaped bees</t>
  </si>
  <si>
    <t>cycle 1 start 32 bees per cage</t>
  </si>
  <si>
    <t>cycle 2</t>
  </si>
  <si>
    <t>blue mark sometimes hard to see (these excluded)</t>
  </si>
  <si>
    <t>day 1</t>
  </si>
  <si>
    <t>day 2</t>
  </si>
  <si>
    <t>day 3</t>
  </si>
  <si>
    <t>day 4</t>
  </si>
  <si>
    <t>day 5</t>
  </si>
  <si>
    <t>cycle 2 young bee survival</t>
  </si>
  <si>
    <t>cycle 1</t>
  </si>
  <si>
    <t>control 6</t>
  </si>
  <si>
    <t>control 7</t>
  </si>
  <si>
    <t>control 8</t>
  </si>
  <si>
    <t>control 9</t>
  </si>
  <si>
    <t>chlorothalonil 1</t>
  </si>
  <si>
    <t>chlorothalonil 2</t>
  </si>
  <si>
    <t>chlorothalonil 3</t>
  </si>
  <si>
    <t>chlorothalonil 4</t>
  </si>
  <si>
    <t>chlorothalonil 5</t>
  </si>
  <si>
    <t>chlorothalonil 6</t>
  </si>
  <si>
    <t>chlorothalonil 7</t>
  </si>
  <si>
    <t>chlorothalonil 8</t>
  </si>
  <si>
    <t>chlorothalonil 9</t>
  </si>
  <si>
    <t>day 6</t>
  </si>
  <si>
    <t>day 7</t>
  </si>
  <si>
    <t>25 bees</t>
  </si>
  <si>
    <t>cycle 3</t>
  </si>
  <si>
    <t>day6</t>
  </si>
  <si>
    <t>19 emerged bees together with 12 old bees</t>
  </si>
  <si>
    <t>survived after high stress</t>
  </si>
  <si>
    <t>%</t>
  </si>
  <si>
    <t>alive after 6 days</t>
  </si>
  <si>
    <t xml:space="preserve">cycle 1 </t>
  </si>
  <si>
    <t>0.45 ug/ml for 24 hours</t>
  </si>
  <si>
    <t>alive after high stress</t>
  </si>
  <si>
    <t>23 bees per cage</t>
  </si>
  <si>
    <t>26 bees per cage as start</t>
  </si>
  <si>
    <t>cycle 2 bees receiving filtered gut transfer</t>
  </si>
  <si>
    <t>control-gut-filtrate 1</t>
  </si>
  <si>
    <t>control-gut-filtrate 2</t>
  </si>
  <si>
    <t>control-gut-filtrate 3</t>
  </si>
  <si>
    <t>control-gut-filtrate 4</t>
  </si>
  <si>
    <t>chlorothalonil-gut-filtrate 1</t>
  </si>
  <si>
    <t>chlorothalonil-gut-filtrate 2</t>
  </si>
  <si>
    <t>chlorothalonil-gut-filtrate 3</t>
  </si>
  <si>
    <t>chlorothalonil-gut-filtrate 4</t>
  </si>
  <si>
    <t>day 8</t>
  </si>
  <si>
    <t>day 9</t>
  </si>
  <si>
    <t>day 10</t>
  </si>
  <si>
    <t>receiving transferred gut</t>
  </si>
  <si>
    <t>from cycle 1</t>
  </si>
  <si>
    <t>day 0</t>
  </si>
  <si>
    <t>from cycle 2</t>
  </si>
  <si>
    <t>high stress</t>
  </si>
  <si>
    <t>alive after stress</t>
  </si>
  <si>
    <t>apply high stress</t>
  </si>
  <si>
    <t>remove for cycle 2</t>
  </si>
  <si>
    <t>survival</t>
  </si>
  <si>
    <t>30-34 bees</t>
  </si>
  <si>
    <t>apply high stress on (day 6)</t>
  </si>
  <si>
    <t xml:space="preserve">survived </t>
  </si>
  <si>
    <t>applied high stress on</t>
  </si>
  <si>
    <t>Experiment 1</t>
  </si>
  <si>
    <t>Tested</t>
  </si>
  <si>
    <t>Experiment details</t>
  </si>
  <si>
    <t>% survival</t>
  </si>
  <si>
    <t>Experiment 2</t>
  </si>
  <si>
    <t>Experiment 3</t>
  </si>
  <si>
    <t>Experiment 4</t>
  </si>
  <si>
    <t>Experiment 5</t>
  </si>
  <si>
    <t>Experiment 6</t>
  </si>
  <si>
    <t xml:space="preserve">Microbiome transfer </t>
  </si>
  <si>
    <t>Microbiome transfer across three worker generations</t>
  </si>
  <si>
    <t>Cycle 3 naïve bees, receiving pre-exposed vs control microbiome</t>
  </si>
  <si>
    <t>Cycle 3</t>
  </si>
  <si>
    <t>Control: 42</t>
  </si>
  <si>
    <t>Chlorothalonil: 58</t>
  </si>
  <si>
    <t>Filtered gut transfer</t>
  </si>
  <si>
    <t>One cycle exposed to chlorothalonil or control food</t>
  </si>
  <si>
    <t>Guts filtered and transfrred together with healthy hive microbiome</t>
  </si>
  <si>
    <t>Cycle 2</t>
  </si>
  <si>
    <t>25-28</t>
  </si>
  <si>
    <t>Starting bees/cage stress cycle</t>
  </si>
  <si>
    <t>~30</t>
  </si>
  <si>
    <t>Control: 106</t>
  </si>
  <si>
    <t>Chlorothalonil: 92</t>
  </si>
  <si>
    <t>small dosage chlorothalonil to gut transfer</t>
  </si>
  <si>
    <t>One cycle receiving control food</t>
  </si>
  <si>
    <t>Microbiome transfer from cycle 1 with added small amounts chlorothalonil</t>
  </si>
  <si>
    <t>"Hormesis test 1"</t>
  </si>
  <si>
    <t>Control: 26</t>
  </si>
  <si>
    <t>Chlorothalonil: 60</t>
  </si>
  <si>
    <t>"Hormesis test 2"</t>
  </si>
  <si>
    <t>Emerged bees receive 0.45 ug/ml for 24 hours afterwards sterile food only</t>
  </si>
  <si>
    <t>Cycle 1</t>
  </si>
  <si>
    <t>~23</t>
  </si>
  <si>
    <t>~26</t>
  </si>
  <si>
    <t>Control: 76</t>
  </si>
  <si>
    <t>Chlorothalonil: 73</t>
  </si>
  <si>
    <t>Contact experiment in cycle 2</t>
  </si>
  <si>
    <t xml:space="preserve">Cycle 1 bees received control or chlorothalonil food  </t>
  </si>
  <si>
    <t>Cycle 1 bees marked with blue dot, cycle 2: 19 naïve, emerged + 12 cycle 1 bees</t>
  </si>
  <si>
    <t>Control: 75</t>
  </si>
  <si>
    <t>Chlorothalonil: 67</t>
  </si>
  <si>
    <t>(some blue marks gone, therefore questionable bees excluded in counting)</t>
  </si>
  <si>
    <t>Cages each treatment</t>
  </si>
  <si>
    <t>Control: 130</t>
  </si>
  <si>
    <t>Chlorothalonil: 138</t>
  </si>
  <si>
    <t>Experiment 7</t>
  </si>
  <si>
    <t>Contact experiment in cycle 3</t>
  </si>
  <si>
    <t>Cycle 1: 25 bees/ cage received control or chlorothalonil food</t>
  </si>
  <si>
    <t>Cycle 2: 20 naive, emerged bees (marked by wing clipping) put in contact with 10 cycle 1 bees</t>
  </si>
  <si>
    <t xml:space="preserve">Cycle 3: 20  naive, emerged bees put in contact with 10 cycle 1 bees </t>
  </si>
  <si>
    <t xml:space="preserve">(too few in some cycle 2 cages, therefore some from other cages of same treatment substituted </t>
  </si>
  <si>
    <t>~20</t>
  </si>
  <si>
    <t>Control: 64</t>
  </si>
  <si>
    <t>High stress applied to:</t>
  </si>
  <si>
    <t>chloro 1 (1 added bee chloro 3), control 1 (4 added bees control 4), control 3 (4 added bees control 5))</t>
  </si>
  <si>
    <t>15 bees transferred to cycle 2 (~31 naïve, merged + 15 cycle 1 bees), marking: blue dot &amp; wing clipped</t>
  </si>
  <si>
    <t>Experiment</t>
  </si>
  <si>
    <t>small dosage chlorothalonil fed to emerged bees</t>
  </si>
  <si>
    <t>High stress applied to bees cycle 2</t>
  </si>
  <si>
    <t>survived</t>
  </si>
  <si>
    <t>High stress applied on</t>
  </si>
  <si>
    <t>31 naive bees</t>
  </si>
  <si>
    <t>together with 15 cycle 1</t>
  </si>
  <si>
    <t>20 naïve bees</t>
  </si>
  <si>
    <t>with 10 bees cycle 2</t>
  </si>
  <si>
    <t>with 10 bees cycle 1</t>
  </si>
  <si>
    <t>survived during cycle (before high stress)</t>
  </si>
  <si>
    <t>start number</t>
  </si>
  <si>
    <t>30 bees/cage</t>
  </si>
  <si>
    <t>start</t>
  </si>
  <si>
    <t>end cycle 1</t>
  </si>
  <si>
    <t>NA</t>
  </si>
  <si>
    <t>cage 5 is a mix of 2-3 bees from each of the other cages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</si>
</sst>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0B9FF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2" xfId="0" applyFill="1" applyBorder="1"/>
    <xf numFmtId="0" fontId="0" fillId="9" borderId="0" xfId="0" applyFill="1" applyBorder="1"/>
    <xf numFmtId="0" fontId="0" fillId="9" borderId="0" xfId="0" applyFill="1" applyBorder="1" applyAlignment="1">
      <alignment horizontal="center"/>
    </xf>
    <xf numFmtId="0" fontId="0" fillId="9" borderId="3" xfId="0" applyFill="1" applyBorder="1"/>
    <xf numFmtId="0" fontId="2" fillId="0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5" xfId="0" applyFill="1" applyBorder="1"/>
    <xf numFmtId="0" fontId="0" fillId="4" borderId="6" xfId="0" applyFill="1" applyBorder="1"/>
    <xf numFmtId="0" fontId="0" fillId="5" borderId="5" xfId="0" applyFill="1" applyBorder="1"/>
    <xf numFmtId="0" fontId="0" fillId="5" borderId="6" xfId="0" applyFill="1" applyBorder="1"/>
    <xf numFmtId="0" fontId="0" fillId="6" borderId="5" xfId="0" applyFill="1" applyBorder="1"/>
    <xf numFmtId="0" fontId="0" fillId="6" borderId="6" xfId="0" applyFill="1" applyBorder="1"/>
    <xf numFmtId="0" fontId="0" fillId="7" borderId="5" xfId="0" applyFill="1" applyBorder="1"/>
    <xf numFmtId="0" fontId="0" fillId="7" borderId="7" xfId="0" applyFill="1" applyBorder="1"/>
    <xf numFmtId="0" fontId="0" fillId="7" borderId="6" xfId="0" applyFill="1" applyBorder="1"/>
    <xf numFmtId="0" fontId="0" fillId="8" borderId="5" xfId="0" applyFill="1" applyBorder="1"/>
    <xf numFmtId="0" fontId="0" fillId="8" borderId="7" xfId="0" applyFill="1" applyBorder="1"/>
    <xf numFmtId="0" fontId="0" fillId="8" borderId="6" xfId="0" applyFill="1" applyBorder="1"/>
    <xf numFmtId="0" fontId="0" fillId="9" borderId="5" xfId="0" applyFill="1" applyBorder="1"/>
    <xf numFmtId="0" fontId="0" fillId="9" borderId="7" xfId="0" applyFill="1" applyBorder="1"/>
    <xf numFmtId="0" fontId="0" fillId="9" borderId="6" xfId="0" applyFill="1" applyBorder="1"/>
    <xf numFmtId="0" fontId="2" fillId="0" borderId="1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1" fillId="7" borderId="5" xfId="0" applyFont="1" applyFill="1" applyBorder="1"/>
    <xf numFmtId="0" fontId="1" fillId="7" borderId="7" xfId="0" applyFont="1" applyFill="1" applyBorder="1"/>
    <xf numFmtId="0" fontId="1" fillId="7" borderId="6" xfId="0" applyFont="1" applyFill="1" applyBorder="1"/>
    <xf numFmtId="0" fontId="1" fillId="8" borderId="5" xfId="0" applyFont="1" applyFill="1" applyBorder="1"/>
    <xf numFmtId="0" fontId="1" fillId="8" borderId="7" xfId="0" applyFont="1" applyFill="1" applyBorder="1"/>
    <xf numFmtId="0" fontId="1" fillId="9" borderId="5" xfId="0" applyFont="1" applyFill="1" applyBorder="1"/>
    <xf numFmtId="0" fontId="0" fillId="3" borderId="5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6" xfId="0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0" fillId="6" borderId="6" xfId="0" applyFill="1" applyBorder="1" applyAlignment="1">
      <alignment horizontal="right"/>
    </xf>
    <xf numFmtId="0" fontId="0" fillId="7" borderId="5" xfId="0" applyFill="1" applyBorder="1" applyAlignment="1">
      <alignment horizontal="right"/>
    </xf>
    <xf numFmtId="0" fontId="0" fillId="7" borderId="7" xfId="0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0" fontId="0" fillId="8" borderId="5" xfId="0" applyFill="1" applyBorder="1" applyAlignment="1">
      <alignment horizontal="right"/>
    </xf>
    <xf numFmtId="0" fontId="0" fillId="9" borderId="5" xfId="0" applyFill="1" applyBorder="1" applyAlignment="1">
      <alignment horizontal="right"/>
    </xf>
    <xf numFmtId="0" fontId="0" fillId="9" borderId="7" xfId="0" applyFill="1" applyBorder="1" applyAlignment="1">
      <alignment horizontal="right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8" borderId="8" xfId="0" applyFill="1" applyBorder="1"/>
    <xf numFmtId="0" fontId="0" fillId="8" borderId="7" xfId="0" applyFill="1" applyBorder="1" applyAlignment="1">
      <alignment horizontal="right"/>
    </xf>
    <xf numFmtId="0" fontId="0" fillId="8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B9FF"/>
      <color rgb="FFE7D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55D2-A8D0-45DD-8279-CE39BA4C337C}">
  <dimension ref="A2:I21"/>
  <sheetViews>
    <sheetView workbookViewId="0">
      <selection activeCell="A26" sqref="A26"/>
    </sheetView>
  </sheetViews>
  <sheetFormatPr defaultRowHeight="15" x14ac:dyDescent="0.25"/>
  <cols>
    <col min="1" max="1" width="16.28515625" bestFit="1" customWidth="1"/>
    <col min="2" max="2" width="41.85546875" customWidth="1"/>
    <col min="3" max="3" width="85.7109375" customWidth="1"/>
    <col min="4" max="4" width="21.42578125" customWidth="1"/>
    <col min="5" max="5" width="21.140625" customWidth="1"/>
    <col min="6" max="6" width="29" customWidth="1"/>
    <col min="7" max="7" width="21.42578125" customWidth="1"/>
    <col min="8" max="8" width="14.42578125" bestFit="1" customWidth="1"/>
    <col min="9" max="9" width="10.85546875" bestFit="1" customWidth="1"/>
  </cols>
  <sheetData>
    <row r="2" spans="1:9" s="1" customFormat="1" ht="20.100000000000001" customHeight="1" x14ac:dyDescent="0.25">
      <c r="A2" s="37" t="s">
        <v>125</v>
      </c>
      <c r="B2" s="37" t="s">
        <v>69</v>
      </c>
      <c r="C2" s="37" t="s">
        <v>70</v>
      </c>
      <c r="D2" s="19" t="s">
        <v>122</v>
      </c>
      <c r="E2" s="37" t="s">
        <v>111</v>
      </c>
      <c r="F2" s="37" t="s">
        <v>88</v>
      </c>
      <c r="G2" s="37" t="s">
        <v>129</v>
      </c>
      <c r="H2" s="37" t="s">
        <v>128</v>
      </c>
      <c r="I2" s="37" t="s">
        <v>71</v>
      </c>
    </row>
    <row r="3" spans="1:9" x14ac:dyDescent="0.25">
      <c r="A3" s="38" t="s">
        <v>68</v>
      </c>
      <c r="B3" s="20" t="s">
        <v>77</v>
      </c>
      <c r="C3" s="20" t="s">
        <v>78</v>
      </c>
      <c r="D3" s="3" t="s">
        <v>80</v>
      </c>
      <c r="E3" s="66">
        <v>3</v>
      </c>
      <c r="F3" s="66" t="s">
        <v>87</v>
      </c>
      <c r="G3" s="20" t="s">
        <v>81</v>
      </c>
      <c r="H3" s="20">
        <v>7</v>
      </c>
      <c r="I3" s="52">
        <v>0.17</v>
      </c>
    </row>
    <row r="4" spans="1:9" x14ac:dyDescent="0.25">
      <c r="A4" s="39"/>
      <c r="B4" s="21"/>
      <c r="C4" s="21" t="s">
        <v>79</v>
      </c>
      <c r="D4" s="4"/>
      <c r="E4" s="67"/>
      <c r="F4" s="67"/>
      <c r="G4" s="21" t="s">
        <v>82</v>
      </c>
      <c r="H4" s="21">
        <v>22</v>
      </c>
      <c r="I4" s="53">
        <v>0.38</v>
      </c>
    </row>
    <row r="5" spans="1:9" x14ac:dyDescent="0.25">
      <c r="A5" s="40" t="s">
        <v>72</v>
      </c>
      <c r="B5" s="22" t="s">
        <v>83</v>
      </c>
      <c r="C5" s="22" t="s">
        <v>84</v>
      </c>
      <c r="D5" s="5" t="s">
        <v>86</v>
      </c>
      <c r="E5" s="68">
        <v>4</v>
      </c>
      <c r="F5" s="68" t="s">
        <v>89</v>
      </c>
      <c r="G5" s="22" t="s">
        <v>90</v>
      </c>
      <c r="H5" s="22">
        <v>29</v>
      </c>
      <c r="I5" s="54">
        <v>0.27</v>
      </c>
    </row>
    <row r="6" spans="1:9" x14ac:dyDescent="0.25">
      <c r="A6" s="41"/>
      <c r="B6" s="23"/>
      <c r="C6" s="23" t="s">
        <v>85</v>
      </c>
      <c r="D6" s="6"/>
      <c r="E6" s="69"/>
      <c r="F6" s="69"/>
      <c r="G6" s="23" t="s">
        <v>91</v>
      </c>
      <c r="H6" s="23">
        <v>39</v>
      </c>
      <c r="I6" s="55">
        <v>0.42</v>
      </c>
    </row>
    <row r="7" spans="1:9" x14ac:dyDescent="0.25">
      <c r="A7" s="42" t="s">
        <v>73</v>
      </c>
      <c r="B7" s="24" t="s">
        <v>92</v>
      </c>
      <c r="C7" s="24" t="s">
        <v>93</v>
      </c>
      <c r="D7" s="7" t="s">
        <v>86</v>
      </c>
      <c r="E7" s="70">
        <v>3</v>
      </c>
      <c r="F7" s="70" t="s">
        <v>102</v>
      </c>
      <c r="G7" s="24" t="s">
        <v>96</v>
      </c>
      <c r="H7" s="24">
        <v>8</v>
      </c>
      <c r="I7" s="56">
        <v>0.31</v>
      </c>
    </row>
    <row r="8" spans="1:9" x14ac:dyDescent="0.25">
      <c r="A8" s="43"/>
      <c r="B8" s="25" t="s">
        <v>95</v>
      </c>
      <c r="C8" s="25" t="s">
        <v>94</v>
      </c>
      <c r="D8" s="8"/>
      <c r="E8" s="71"/>
      <c r="F8" s="71"/>
      <c r="G8" s="25" t="s">
        <v>97</v>
      </c>
      <c r="H8" s="25">
        <v>23</v>
      </c>
      <c r="I8" s="57">
        <v>0.38</v>
      </c>
    </row>
    <row r="9" spans="1:9" x14ac:dyDescent="0.25">
      <c r="A9" s="44" t="s">
        <v>74</v>
      </c>
      <c r="B9" s="26" t="s">
        <v>126</v>
      </c>
      <c r="C9" s="26" t="s">
        <v>99</v>
      </c>
      <c r="D9" s="9" t="s">
        <v>100</v>
      </c>
      <c r="E9" s="72">
        <v>4</v>
      </c>
      <c r="F9" s="72" t="s">
        <v>101</v>
      </c>
      <c r="G9" s="26" t="s">
        <v>103</v>
      </c>
      <c r="H9" s="26">
        <v>50</v>
      </c>
      <c r="I9" s="58">
        <v>0.66</v>
      </c>
    </row>
    <row r="10" spans="1:9" x14ac:dyDescent="0.25">
      <c r="A10" s="45"/>
      <c r="B10" s="27" t="s">
        <v>98</v>
      </c>
      <c r="C10" s="27"/>
      <c r="D10" s="10"/>
      <c r="E10" s="73"/>
      <c r="F10" s="73"/>
      <c r="G10" s="27" t="s">
        <v>104</v>
      </c>
      <c r="H10" s="27">
        <v>54</v>
      </c>
      <c r="I10" s="59">
        <v>0.74</v>
      </c>
    </row>
    <row r="11" spans="1:9" x14ac:dyDescent="0.25">
      <c r="A11" s="46" t="s">
        <v>75</v>
      </c>
      <c r="B11" s="28" t="s">
        <v>105</v>
      </c>
      <c r="C11" s="28" t="s">
        <v>106</v>
      </c>
      <c r="D11" s="11" t="s">
        <v>86</v>
      </c>
      <c r="E11" s="74">
        <v>5</v>
      </c>
      <c r="F11" s="74">
        <v>19</v>
      </c>
      <c r="G11" s="28" t="s">
        <v>108</v>
      </c>
      <c r="H11" s="28">
        <v>21</v>
      </c>
      <c r="I11" s="60">
        <v>0.28000000000000003</v>
      </c>
    </row>
    <row r="12" spans="1:9" x14ac:dyDescent="0.25">
      <c r="A12" s="47"/>
      <c r="B12" s="29"/>
      <c r="C12" s="29" t="s">
        <v>107</v>
      </c>
      <c r="D12" s="12"/>
      <c r="E12" s="75"/>
      <c r="F12" s="75"/>
      <c r="G12" s="29" t="s">
        <v>109</v>
      </c>
      <c r="H12" s="29">
        <v>31</v>
      </c>
      <c r="I12" s="61">
        <v>0.46</v>
      </c>
    </row>
    <row r="13" spans="1:9" x14ac:dyDescent="0.25">
      <c r="A13" s="48"/>
      <c r="B13" s="30"/>
      <c r="C13" s="30" t="s">
        <v>110</v>
      </c>
      <c r="D13" s="13"/>
      <c r="E13" s="76"/>
      <c r="F13" s="76"/>
      <c r="G13" s="30"/>
      <c r="H13" s="30"/>
      <c r="I13" s="62"/>
    </row>
    <row r="14" spans="1:9" x14ac:dyDescent="0.25">
      <c r="A14" s="49" t="s">
        <v>76</v>
      </c>
      <c r="B14" s="31" t="s">
        <v>105</v>
      </c>
      <c r="C14" s="31" t="s">
        <v>106</v>
      </c>
      <c r="D14" s="14" t="s">
        <v>86</v>
      </c>
      <c r="E14" s="77">
        <v>7</v>
      </c>
      <c r="F14" s="77">
        <v>31</v>
      </c>
      <c r="G14" s="31" t="s">
        <v>112</v>
      </c>
      <c r="H14" s="31">
        <v>36</v>
      </c>
      <c r="I14" s="63">
        <v>0.28000000000000003</v>
      </c>
    </row>
    <row r="15" spans="1:9" x14ac:dyDescent="0.25">
      <c r="A15" s="50"/>
      <c r="B15" s="32"/>
      <c r="C15" s="79" t="s">
        <v>124</v>
      </c>
      <c r="D15" s="79"/>
      <c r="E15" s="79"/>
      <c r="F15" s="79"/>
      <c r="G15" s="79" t="s">
        <v>113</v>
      </c>
      <c r="H15" s="79">
        <v>48</v>
      </c>
      <c r="I15" s="80">
        <v>0.35</v>
      </c>
    </row>
    <row r="16" spans="1:9" x14ac:dyDescent="0.25">
      <c r="A16" s="50"/>
      <c r="B16" s="32"/>
      <c r="C16" s="79" t="s">
        <v>127</v>
      </c>
      <c r="D16" s="81"/>
      <c r="E16" s="81"/>
      <c r="F16" s="81"/>
      <c r="G16" s="81"/>
      <c r="H16" s="81"/>
      <c r="I16" s="33"/>
    </row>
    <row r="17" spans="1:9" x14ac:dyDescent="0.25">
      <c r="A17" s="51" t="s">
        <v>114</v>
      </c>
      <c r="B17" s="34" t="s">
        <v>115</v>
      </c>
      <c r="C17" s="34" t="s">
        <v>116</v>
      </c>
      <c r="D17" s="15"/>
      <c r="E17" s="34"/>
      <c r="F17" s="34"/>
      <c r="G17" s="34"/>
      <c r="H17" s="34"/>
      <c r="I17" s="64"/>
    </row>
    <row r="18" spans="1:9" x14ac:dyDescent="0.25">
      <c r="A18" s="35"/>
      <c r="B18" s="35"/>
      <c r="C18" s="35" t="s">
        <v>117</v>
      </c>
      <c r="D18" s="17" t="s">
        <v>80</v>
      </c>
      <c r="E18" s="78">
        <v>5</v>
      </c>
      <c r="F18" s="78" t="s">
        <v>120</v>
      </c>
      <c r="G18" s="35" t="s">
        <v>121</v>
      </c>
      <c r="H18" s="35">
        <v>14</v>
      </c>
      <c r="I18" s="65">
        <v>0.22</v>
      </c>
    </row>
    <row r="19" spans="1:9" x14ac:dyDescent="0.25">
      <c r="A19" s="35"/>
      <c r="B19" s="35"/>
      <c r="C19" s="35" t="s">
        <v>118</v>
      </c>
      <c r="D19" s="16"/>
      <c r="E19" s="35"/>
      <c r="F19" s="35"/>
      <c r="G19" s="35" t="s">
        <v>97</v>
      </c>
      <c r="H19" s="35">
        <v>27</v>
      </c>
      <c r="I19" s="65">
        <v>0.45</v>
      </c>
    </row>
    <row r="20" spans="1:9" x14ac:dyDescent="0.25">
      <c r="A20" s="35"/>
      <c r="B20" s="35"/>
      <c r="C20" s="35" t="s">
        <v>119</v>
      </c>
      <c r="D20" s="16"/>
      <c r="E20" s="35"/>
      <c r="F20" s="35"/>
      <c r="G20" s="35"/>
      <c r="H20" s="35"/>
      <c r="I20" s="35"/>
    </row>
    <row r="21" spans="1:9" x14ac:dyDescent="0.25">
      <c r="A21" s="36"/>
      <c r="B21" s="36"/>
      <c r="C21" s="36" t="s">
        <v>123</v>
      </c>
      <c r="D21" s="18"/>
      <c r="E21" s="36"/>
      <c r="F21" s="36"/>
      <c r="G21" s="36"/>
      <c r="H21" s="36"/>
      <c r="I21" s="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E2E3-E737-4612-BF8C-A897C700A2AB}">
  <dimension ref="A1:P25"/>
  <sheetViews>
    <sheetView workbookViewId="0">
      <selection activeCell="P1" sqref="P1"/>
    </sheetView>
  </sheetViews>
  <sheetFormatPr defaultRowHeight="15" x14ac:dyDescent="0.25"/>
  <cols>
    <col min="1" max="1" width="23.28515625" bestFit="1" customWidth="1"/>
    <col min="2" max="2" width="15" bestFit="1" customWidth="1"/>
    <col min="3" max="9" width="5.5703125" bestFit="1" customWidth="1"/>
    <col min="10" max="10" width="10.42578125" bestFit="1" customWidth="1"/>
    <col min="11" max="11" width="15.7109375" bestFit="1" customWidth="1"/>
    <col min="12" max="12" width="5.5703125" bestFit="1" customWidth="1"/>
    <col min="13" max="13" width="6.5703125" bestFit="1" customWidth="1"/>
    <col min="16" max="16" width="38.28515625" bestFit="1" customWidth="1"/>
  </cols>
  <sheetData>
    <row r="1" spans="1:16" x14ac:dyDescent="0.25">
      <c r="A1" t="s">
        <v>38</v>
      </c>
      <c r="C1" t="s">
        <v>57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29</v>
      </c>
      <c r="J1" t="s">
        <v>30</v>
      </c>
      <c r="K1" t="s">
        <v>52</v>
      </c>
      <c r="L1" t="s">
        <v>53</v>
      </c>
      <c r="M1" t="s">
        <v>54</v>
      </c>
      <c r="P1" t="s">
        <v>135</v>
      </c>
    </row>
    <row r="2" spans="1:16" x14ac:dyDescent="0.25">
      <c r="B2" t="s">
        <v>0</v>
      </c>
      <c r="C2">
        <v>26</v>
      </c>
      <c r="D2">
        <v>26</v>
      </c>
      <c r="E2">
        <v>26</v>
      </c>
      <c r="F2">
        <v>26</v>
      </c>
      <c r="G2">
        <v>25</v>
      </c>
      <c r="H2">
        <v>23</v>
      </c>
      <c r="I2">
        <v>20</v>
      </c>
      <c r="J2">
        <v>18</v>
      </c>
      <c r="K2">
        <v>15</v>
      </c>
      <c r="L2">
        <v>14</v>
      </c>
      <c r="M2">
        <v>12</v>
      </c>
      <c r="P2">
        <f>M2/C2</f>
        <v>0.46153846153846156</v>
      </c>
    </row>
    <row r="3" spans="1:16" x14ac:dyDescent="0.25">
      <c r="B3" t="s">
        <v>1</v>
      </c>
      <c r="C3">
        <v>26</v>
      </c>
      <c r="D3">
        <v>26</v>
      </c>
      <c r="E3">
        <v>26</v>
      </c>
      <c r="F3">
        <v>26</v>
      </c>
      <c r="G3">
        <v>25</v>
      </c>
      <c r="H3">
        <v>21</v>
      </c>
      <c r="I3">
        <v>21</v>
      </c>
      <c r="J3">
        <v>20</v>
      </c>
      <c r="K3">
        <v>19</v>
      </c>
      <c r="L3">
        <v>16</v>
      </c>
      <c r="M3">
        <v>14</v>
      </c>
      <c r="P3">
        <f t="shared" ref="P3:P7" si="0">M3/C3</f>
        <v>0.53846153846153844</v>
      </c>
    </row>
    <row r="4" spans="1:16" x14ac:dyDescent="0.25">
      <c r="B4" t="s">
        <v>2</v>
      </c>
      <c r="C4">
        <v>26</v>
      </c>
      <c r="D4">
        <v>26</v>
      </c>
      <c r="E4">
        <v>26</v>
      </c>
      <c r="F4">
        <v>26</v>
      </c>
      <c r="G4">
        <v>25</v>
      </c>
      <c r="H4">
        <v>23</v>
      </c>
      <c r="I4">
        <v>21</v>
      </c>
      <c r="J4">
        <v>19</v>
      </c>
      <c r="K4">
        <v>18</v>
      </c>
      <c r="L4">
        <v>16</v>
      </c>
      <c r="M4">
        <v>12</v>
      </c>
      <c r="P4">
        <f t="shared" si="0"/>
        <v>0.46153846153846156</v>
      </c>
    </row>
    <row r="5" spans="1:16" x14ac:dyDescent="0.25">
      <c r="B5" t="s">
        <v>20</v>
      </c>
      <c r="C5">
        <v>24</v>
      </c>
      <c r="D5">
        <v>24</v>
      </c>
      <c r="E5">
        <v>24</v>
      </c>
      <c r="F5">
        <v>23</v>
      </c>
      <c r="G5">
        <v>23</v>
      </c>
      <c r="H5">
        <v>23</v>
      </c>
      <c r="I5">
        <v>19</v>
      </c>
      <c r="J5">
        <v>13</v>
      </c>
      <c r="K5">
        <v>8</v>
      </c>
      <c r="L5">
        <v>7</v>
      </c>
      <c r="M5">
        <v>7</v>
      </c>
      <c r="P5">
        <f t="shared" si="0"/>
        <v>0.29166666666666669</v>
      </c>
    </row>
    <row r="6" spans="1:16" x14ac:dyDescent="0.25">
      <c r="B6" t="s">
        <v>21</v>
      </c>
      <c r="C6">
        <v>24</v>
      </c>
      <c r="D6">
        <v>24</v>
      </c>
      <c r="E6">
        <v>24</v>
      </c>
      <c r="F6">
        <v>24</v>
      </c>
      <c r="G6">
        <v>20</v>
      </c>
      <c r="H6">
        <v>15</v>
      </c>
      <c r="I6">
        <v>15</v>
      </c>
      <c r="J6">
        <v>10</v>
      </c>
      <c r="K6">
        <v>10</v>
      </c>
      <c r="L6">
        <v>5</v>
      </c>
      <c r="M6">
        <v>4</v>
      </c>
      <c r="P6">
        <f t="shared" si="0"/>
        <v>0.16666666666666666</v>
      </c>
    </row>
    <row r="7" spans="1:16" x14ac:dyDescent="0.25">
      <c r="B7" t="s">
        <v>22</v>
      </c>
      <c r="C7">
        <v>24</v>
      </c>
      <c r="D7">
        <v>23</v>
      </c>
      <c r="E7">
        <v>23</v>
      </c>
      <c r="F7">
        <v>22</v>
      </c>
      <c r="G7">
        <v>22</v>
      </c>
      <c r="H7">
        <v>21</v>
      </c>
      <c r="I7">
        <v>19</v>
      </c>
      <c r="J7">
        <v>14</v>
      </c>
      <c r="K7">
        <v>12</v>
      </c>
      <c r="L7">
        <v>10</v>
      </c>
      <c r="M7">
        <v>8</v>
      </c>
      <c r="P7">
        <f t="shared" si="0"/>
        <v>0.33333333333333331</v>
      </c>
    </row>
    <row r="10" spans="1:16" x14ac:dyDescent="0.25">
      <c r="C10" t="s">
        <v>57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  <c r="I10" t="s">
        <v>29</v>
      </c>
    </row>
    <row r="11" spans="1:16" x14ac:dyDescent="0.25">
      <c r="A11" t="s">
        <v>7</v>
      </c>
      <c r="B11" t="s">
        <v>0</v>
      </c>
      <c r="C11">
        <v>29</v>
      </c>
      <c r="D11">
        <v>28</v>
      </c>
      <c r="E11">
        <v>27</v>
      </c>
      <c r="F11">
        <v>26</v>
      </c>
      <c r="G11">
        <v>25</v>
      </c>
      <c r="H11">
        <v>21</v>
      </c>
      <c r="I11">
        <v>19</v>
      </c>
      <c r="P11">
        <f>I11/C11</f>
        <v>0.65517241379310343</v>
      </c>
    </row>
    <row r="12" spans="1:16" x14ac:dyDescent="0.25">
      <c r="A12" t="s">
        <v>55</v>
      </c>
      <c r="B12" t="s">
        <v>1</v>
      </c>
      <c r="C12">
        <v>32</v>
      </c>
      <c r="D12">
        <v>32</v>
      </c>
      <c r="E12">
        <v>32</v>
      </c>
      <c r="F12">
        <v>31</v>
      </c>
      <c r="G12">
        <v>29</v>
      </c>
      <c r="H12">
        <v>27</v>
      </c>
      <c r="I12">
        <v>25</v>
      </c>
      <c r="P12">
        <f t="shared" ref="P12:P16" si="1">I12/C12</f>
        <v>0.78125</v>
      </c>
    </row>
    <row r="13" spans="1:16" x14ac:dyDescent="0.25">
      <c r="A13" t="s">
        <v>56</v>
      </c>
      <c r="B13" t="s">
        <v>2</v>
      </c>
      <c r="C13">
        <v>31</v>
      </c>
      <c r="D13">
        <v>29</v>
      </c>
      <c r="E13">
        <v>29</v>
      </c>
      <c r="F13">
        <v>27</v>
      </c>
      <c r="G13">
        <v>26</v>
      </c>
      <c r="H13">
        <v>25</v>
      </c>
      <c r="I13">
        <v>21</v>
      </c>
      <c r="P13">
        <f t="shared" si="1"/>
        <v>0.67741935483870963</v>
      </c>
    </row>
    <row r="14" spans="1:16" x14ac:dyDescent="0.25">
      <c r="B14" t="s">
        <v>20</v>
      </c>
      <c r="C14">
        <v>32</v>
      </c>
      <c r="D14">
        <v>27</v>
      </c>
      <c r="E14">
        <v>26</v>
      </c>
      <c r="F14">
        <v>26</v>
      </c>
      <c r="G14">
        <v>24</v>
      </c>
      <c r="H14">
        <v>21</v>
      </c>
      <c r="I14">
        <v>16</v>
      </c>
      <c r="P14">
        <f t="shared" si="1"/>
        <v>0.5</v>
      </c>
    </row>
    <row r="15" spans="1:16" x14ac:dyDescent="0.25">
      <c r="B15" t="s">
        <v>21</v>
      </c>
      <c r="C15">
        <v>30</v>
      </c>
      <c r="D15">
        <v>28</v>
      </c>
      <c r="E15">
        <v>28</v>
      </c>
      <c r="F15">
        <v>28</v>
      </c>
      <c r="G15">
        <v>25</v>
      </c>
      <c r="H15">
        <v>18</v>
      </c>
      <c r="I15">
        <v>14</v>
      </c>
      <c r="P15">
        <f t="shared" si="1"/>
        <v>0.46666666666666667</v>
      </c>
    </row>
    <row r="16" spans="1:16" x14ac:dyDescent="0.25">
      <c r="B16" t="s">
        <v>22</v>
      </c>
      <c r="C16">
        <v>33</v>
      </c>
      <c r="D16">
        <v>32</v>
      </c>
      <c r="E16">
        <v>31</v>
      </c>
      <c r="F16">
        <v>29</v>
      </c>
      <c r="G16">
        <v>29</v>
      </c>
      <c r="H16">
        <v>27</v>
      </c>
      <c r="I16">
        <v>21</v>
      </c>
      <c r="P16">
        <f t="shared" si="1"/>
        <v>0.63636363636363635</v>
      </c>
    </row>
    <row r="19" spans="1:16" x14ac:dyDescent="0.25">
      <c r="C19" t="s">
        <v>57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29</v>
      </c>
      <c r="J19" t="s">
        <v>59</v>
      </c>
      <c r="K19" t="s">
        <v>60</v>
      </c>
      <c r="L19" t="s">
        <v>36</v>
      </c>
    </row>
    <row r="20" spans="1:16" x14ac:dyDescent="0.25">
      <c r="A20" t="s">
        <v>32</v>
      </c>
      <c r="B20" t="s">
        <v>0</v>
      </c>
      <c r="C20">
        <v>25</v>
      </c>
      <c r="D20">
        <v>25</v>
      </c>
      <c r="E20">
        <v>25</v>
      </c>
      <c r="F20">
        <v>25</v>
      </c>
      <c r="G20">
        <v>22</v>
      </c>
      <c r="H20">
        <v>11</v>
      </c>
      <c r="I20">
        <v>8</v>
      </c>
      <c r="J20">
        <v>8</v>
      </c>
      <c r="K20">
        <v>0</v>
      </c>
      <c r="L20">
        <f>K20/J20</f>
        <v>0</v>
      </c>
      <c r="P20">
        <f>I20/C20</f>
        <v>0.32</v>
      </c>
    </row>
    <row r="21" spans="1:16" x14ac:dyDescent="0.25">
      <c r="A21" t="s">
        <v>55</v>
      </c>
      <c r="B21" t="s">
        <v>1</v>
      </c>
      <c r="C21">
        <v>25</v>
      </c>
      <c r="D21">
        <v>25</v>
      </c>
      <c r="E21">
        <v>25</v>
      </c>
      <c r="F21">
        <v>24</v>
      </c>
      <c r="G21">
        <v>24</v>
      </c>
      <c r="H21">
        <v>21</v>
      </c>
      <c r="I21">
        <v>15</v>
      </c>
      <c r="J21">
        <v>15</v>
      </c>
      <c r="K21">
        <v>3</v>
      </c>
      <c r="L21">
        <f t="shared" ref="L21:L25" si="2">K21/J21</f>
        <v>0.2</v>
      </c>
      <c r="P21">
        <f t="shared" ref="P21:P25" si="3">I21/C21</f>
        <v>0.6</v>
      </c>
    </row>
    <row r="22" spans="1:16" x14ac:dyDescent="0.25">
      <c r="A22" t="s">
        <v>58</v>
      </c>
      <c r="B22" t="s">
        <v>2</v>
      </c>
      <c r="C22">
        <v>26</v>
      </c>
      <c r="D22">
        <v>26</v>
      </c>
      <c r="E22">
        <v>26</v>
      </c>
      <c r="F22">
        <v>26</v>
      </c>
      <c r="G22">
        <v>26</v>
      </c>
      <c r="H22">
        <v>25</v>
      </c>
      <c r="I22">
        <v>19</v>
      </c>
      <c r="J22">
        <v>19</v>
      </c>
      <c r="K22">
        <v>4</v>
      </c>
      <c r="L22">
        <f t="shared" si="2"/>
        <v>0.21052631578947367</v>
      </c>
      <c r="P22">
        <f t="shared" si="3"/>
        <v>0.73076923076923073</v>
      </c>
    </row>
    <row r="23" spans="1:16" x14ac:dyDescent="0.25">
      <c r="B23" t="s">
        <v>20</v>
      </c>
      <c r="C23">
        <v>28</v>
      </c>
      <c r="D23">
        <v>28</v>
      </c>
      <c r="E23">
        <v>28</v>
      </c>
      <c r="F23">
        <v>28</v>
      </c>
      <c r="G23">
        <v>28</v>
      </c>
      <c r="H23">
        <v>26</v>
      </c>
      <c r="I23">
        <v>20</v>
      </c>
      <c r="J23">
        <v>20</v>
      </c>
      <c r="K23">
        <v>6</v>
      </c>
      <c r="L23">
        <f t="shared" si="2"/>
        <v>0.3</v>
      </c>
      <c r="P23">
        <f t="shared" si="3"/>
        <v>0.7142857142857143</v>
      </c>
    </row>
    <row r="24" spans="1:16" x14ac:dyDescent="0.25">
      <c r="B24" t="s">
        <v>21</v>
      </c>
      <c r="C24">
        <v>27</v>
      </c>
      <c r="D24">
        <v>27</v>
      </c>
      <c r="E24">
        <v>27</v>
      </c>
      <c r="F24">
        <v>27</v>
      </c>
      <c r="G24">
        <v>26</v>
      </c>
      <c r="H24">
        <v>25</v>
      </c>
      <c r="I24">
        <v>19</v>
      </c>
      <c r="J24">
        <v>19</v>
      </c>
      <c r="K24">
        <v>5</v>
      </c>
      <c r="L24">
        <f t="shared" si="2"/>
        <v>0.26315789473684209</v>
      </c>
      <c r="P24">
        <f t="shared" si="3"/>
        <v>0.70370370370370372</v>
      </c>
    </row>
    <row r="25" spans="1:16" x14ac:dyDescent="0.25">
      <c r="B25" t="s">
        <v>22</v>
      </c>
      <c r="C25">
        <v>28</v>
      </c>
      <c r="D25">
        <v>28</v>
      </c>
      <c r="E25">
        <v>28</v>
      </c>
      <c r="F25">
        <v>28</v>
      </c>
      <c r="G25">
        <v>25</v>
      </c>
      <c r="H25">
        <v>25</v>
      </c>
      <c r="I25">
        <v>19</v>
      </c>
      <c r="J25">
        <v>19</v>
      </c>
      <c r="K25">
        <v>11</v>
      </c>
      <c r="L25">
        <f t="shared" si="2"/>
        <v>0.57894736842105265</v>
      </c>
      <c r="P25">
        <f t="shared" si="3"/>
        <v>0.6785714285714286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DB74-4E50-40B4-9E39-C5CA0FEE9158}">
  <dimension ref="A1:J9"/>
  <sheetViews>
    <sheetView workbookViewId="0">
      <selection activeCell="J1" sqref="J1"/>
    </sheetView>
  </sheetViews>
  <sheetFormatPr defaultRowHeight="15" x14ac:dyDescent="0.25"/>
  <cols>
    <col min="1" max="1" width="39" bestFit="1" customWidth="1"/>
    <col min="2" max="3" width="39" customWidth="1"/>
    <col min="4" max="4" width="16" bestFit="1" customWidth="1"/>
    <col min="5" max="5" width="16" customWidth="1"/>
    <col min="6" max="6" width="20.140625" bestFit="1" customWidth="1"/>
    <col min="7" max="7" width="12" bestFit="1" customWidth="1"/>
  </cols>
  <sheetData>
    <row r="1" spans="1:10" x14ac:dyDescent="0.25">
      <c r="C1" t="s">
        <v>136</v>
      </c>
      <c r="D1" t="s">
        <v>37</v>
      </c>
      <c r="E1" t="s">
        <v>61</v>
      </c>
      <c r="F1" t="s">
        <v>40</v>
      </c>
      <c r="G1" t="s">
        <v>36</v>
      </c>
      <c r="J1" t="s">
        <v>135</v>
      </c>
    </row>
    <row r="2" spans="1:10" x14ac:dyDescent="0.25">
      <c r="A2" t="s">
        <v>43</v>
      </c>
      <c r="B2" t="s">
        <v>44</v>
      </c>
      <c r="C2">
        <v>30</v>
      </c>
      <c r="D2">
        <v>28</v>
      </c>
      <c r="E2">
        <v>28</v>
      </c>
      <c r="F2">
        <v>9</v>
      </c>
      <c r="G2">
        <f>F2/D2</f>
        <v>0.32142857142857145</v>
      </c>
      <c r="J2">
        <f>E2/C2</f>
        <v>0.93333333333333335</v>
      </c>
    </row>
    <row r="3" spans="1:10" x14ac:dyDescent="0.25">
      <c r="A3" t="s">
        <v>137</v>
      </c>
      <c r="B3" t="s">
        <v>45</v>
      </c>
      <c r="C3">
        <v>30</v>
      </c>
      <c r="D3">
        <v>26</v>
      </c>
      <c r="E3">
        <v>26</v>
      </c>
      <c r="F3">
        <v>8</v>
      </c>
      <c r="G3">
        <f t="shared" ref="G3:G9" si="0">F3/D3</f>
        <v>0.30769230769230771</v>
      </c>
      <c r="J3">
        <f t="shared" ref="J3:J9" si="1">E3/C3</f>
        <v>0.8666666666666667</v>
      </c>
    </row>
    <row r="4" spans="1:10" x14ac:dyDescent="0.25">
      <c r="B4" t="s">
        <v>46</v>
      </c>
      <c r="C4">
        <v>30</v>
      </c>
      <c r="D4">
        <v>25</v>
      </c>
      <c r="E4">
        <v>25</v>
      </c>
      <c r="F4">
        <v>4</v>
      </c>
      <c r="G4">
        <f t="shared" si="0"/>
        <v>0.16</v>
      </c>
      <c r="J4">
        <f t="shared" si="1"/>
        <v>0.83333333333333337</v>
      </c>
    </row>
    <row r="5" spans="1:10" x14ac:dyDescent="0.25">
      <c r="B5" t="s">
        <v>47</v>
      </c>
      <c r="C5">
        <v>30</v>
      </c>
      <c r="D5">
        <v>27</v>
      </c>
      <c r="E5">
        <v>27</v>
      </c>
      <c r="F5">
        <v>8</v>
      </c>
      <c r="G5">
        <f t="shared" si="0"/>
        <v>0.29629629629629628</v>
      </c>
      <c r="J5">
        <f t="shared" si="1"/>
        <v>0.9</v>
      </c>
    </row>
    <row r="6" spans="1:10" x14ac:dyDescent="0.25">
      <c r="B6" t="s">
        <v>48</v>
      </c>
      <c r="C6">
        <v>30</v>
      </c>
      <c r="D6">
        <v>23</v>
      </c>
      <c r="E6">
        <v>23</v>
      </c>
      <c r="F6">
        <v>9</v>
      </c>
      <c r="G6">
        <f t="shared" si="0"/>
        <v>0.39130434782608697</v>
      </c>
      <c r="J6">
        <f t="shared" si="1"/>
        <v>0.76666666666666672</v>
      </c>
    </row>
    <row r="7" spans="1:10" x14ac:dyDescent="0.25">
      <c r="B7" t="s">
        <v>49</v>
      </c>
      <c r="C7">
        <v>30</v>
      </c>
      <c r="D7">
        <v>25</v>
      </c>
      <c r="E7">
        <v>25</v>
      </c>
      <c r="F7">
        <v>15</v>
      </c>
      <c r="G7">
        <f t="shared" si="0"/>
        <v>0.6</v>
      </c>
      <c r="J7">
        <f t="shared" si="1"/>
        <v>0.83333333333333337</v>
      </c>
    </row>
    <row r="8" spans="1:10" x14ac:dyDescent="0.25">
      <c r="B8" t="s">
        <v>50</v>
      </c>
      <c r="C8">
        <v>30</v>
      </c>
      <c r="D8">
        <v>22</v>
      </c>
      <c r="E8">
        <v>22</v>
      </c>
      <c r="F8">
        <v>9</v>
      </c>
      <c r="G8">
        <f>F8/D8</f>
        <v>0.40909090909090912</v>
      </c>
      <c r="J8">
        <f t="shared" si="1"/>
        <v>0.73333333333333328</v>
      </c>
    </row>
    <row r="9" spans="1:10" x14ac:dyDescent="0.25">
      <c r="B9" t="s">
        <v>51</v>
      </c>
      <c r="C9">
        <v>30</v>
      </c>
      <c r="D9">
        <v>22</v>
      </c>
      <c r="E9">
        <v>22</v>
      </c>
      <c r="F9">
        <v>6</v>
      </c>
      <c r="G9">
        <f t="shared" si="0"/>
        <v>0.27272727272727271</v>
      </c>
      <c r="J9">
        <f t="shared" si="1"/>
        <v>0.73333333333333328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9E983-5E76-43D5-91A0-632A59C477AB}">
  <dimension ref="A2:J8"/>
  <sheetViews>
    <sheetView workbookViewId="0">
      <selection activeCell="J2" sqref="J2"/>
    </sheetView>
  </sheetViews>
  <sheetFormatPr defaultRowHeight="15" x14ac:dyDescent="0.25"/>
  <cols>
    <col min="1" max="1" width="26.42578125" bestFit="1" customWidth="1"/>
    <col min="2" max="2" width="15" bestFit="1" customWidth="1"/>
    <col min="3" max="3" width="15" customWidth="1"/>
    <col min="4" max="4" width="16" bestFit="1" customWidth="1"/>
    <col min="5" max="5" width="16" customWidth="1"/>
    <col min="6" max="6" width="23.5703125" bestFit="1" customWidth="1"/>
    <col min="7" max="7" width="12" bestFit="1" customWidth="1"/>
  </cols>
  <sheetData>
    <row r="2" spans="1:10" x14ac:dyDescent="0.25">
      <c r="A2" t="s">
        <v>15</v>
      </c>
      <c r="C2" t="s">
        <v>138</v>
      </c>
      <c r="D2" t="s">
        <v>37</v>
      </c>
      <c r="E2" t="s">
        <v>61</v>
      </c>
      <c r="F2" t="s">
        <v>35</v>
      </c>
      <c r="G2" t="s">
        <v>36</v>
      </c>
      <c r="J2" t="s">
        <v>135</v>
      </c>
    </row>
    <row r="3" spans="1:10" x14ac:dyDescent="0.25">
      <c r="A3" t="s">
        <v>42</v>
      </c>
      <c r="B3" t="s">
        <v>0</v>
      </c>
      <c r="C3">
        <v>26</v>
      </c>
      <c r="D3">
        <v>14</v>
      </c>
      <c r="E3">
        <v>14</v>
      </c>
      <c r="F3">
        <v>5</v>
      </c>
      <c r="G3">
        <f>F3/D3</f>
        <v>0.35714285714285715</v>
      </c>
      <c r="J3">
        <f>D3/C3</f>
        <v>0.53846153846153844</v>
      </c>
    </row>
    <row r="4" spans="1:10" x14ac:dyDescent="0.25">
      <c r="B4" t="s">
        <v>1</v>
      </c>
      <c r="C4">
        <v>26</v>
      </c>
      <c r="D4">
        <v>5</v>
      </c>
      <c r="E4">
        <v>5</v>
      </c>
      <c r="F4">
        <v>3</v>
      </c>
      <c r="G4">
        <f t="shared" ref="G4:G8" si="0">F4/D4</f>
        <v>0.6</v>
      </c>
      <c r="J4">
        <f t="shared" ref="J4:J8" si="1">D4/C4</f>
        <v>0.19230769230769232</v>
      </c>
    </row>
    <row r="5" spans="1:10" x14ac:dyDescent="0.25">
      <c r="B5" t="s">
        <v>2</v>
      </c>
      <c r="C5">
        <v>26</v>
      </c>
      <c r="D5">
        <v>7</v>
      </c>
      <c r="E5">
        <v>7</v>
      </c>
      <c r="F5">
        <v>0</v>
      </c>
      <c r="G5">
        <f t="shared" si="0"/>
        <v>0</v>
      </c>
      <c r="J5">
        <f t="shared" si="1"/>
        <v>0.26923076923076922</v>
      </c>
    </row>
    <row r="6" spans="1:10" x14ac:dyDescent="0.25">
      <c r="B6" t="s">
        <v>20</v>
      </c>
      <c r="C6">
        <v>26</v>
      </c>
      <c r="D6">
        <v>19</v>
      </c>
      <c r="E6">
        <v>19</v>
      </c>
      <c r="F6">
        <v>5</v>
      </c>
      <c r="G6">
        <f t="shared" si="0"/>
        <v>0.26315789473684209</v>
      </c>
      <c r="J6">
        <f t="shared" si="1"/>
        <v>0.73076923076923073</v>
      </c>
    </row>
    <row r="7" spans="1:10" x14ac:dyDescent="0.25">
      <c r="B7" t="s">
        <v>21</v>
      </c>
      <c r="C7">
        <v>26</v>
      </c>
      <c r="D7">
        <v>15</v>
      </c>
      <c r="E7">
        <v>15</v>
      </c>
      <c r="F7">
        <v>5</v>
      </c>
      <c r="G7">
        <f t="shared" si="0"/>
        <v>0.33333333333333331</v>
      </c>
      <c r="J7">
        <f t="shared" si="1"/>
        <v>0.57692307692307687</v>
      </c>
    </row>
    <row r="8" spans="1:10" x14ac:dyDescent="0.25">
      <c r="B8" t="s">
        <v>22</v>
      </c>
      <c r="C8">
        <v>26</v>
      </c>
      <c r="D8">
        <v>26</v>
      </c>
      <c r="E8">
        <v>26</v>
      </c>
      <c r="F8">
        <v>13</v>
      </c>
      <c r="G8">
        <f t="shared" si="0"/>
        <v>0.5</v>
      </c>
      <c r="J8">
        <f t="shared" si="1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3120-DAC2-491A-82BB-087A1CD433D2}">
  <dimension ref="A1:K11"/>
  <sheetViews>
    <sheetView workbookViewId="0">
      <selection activeCell="K3" sqref="K3"/>
    </sheetView>
  </sheetViews>
  <sheetFormatPr defaultRowHeight="15" x14ac:dyDescent="0.25"/>
  <cols>
    <col min="1" max="1" width="21.5703125" bestFit="1" customWidth="1"/>
    <col min="3" max="3" width="15" bestFit="1" customWidth="1"/>
    <col min="4" max="4" width="15" customWidth="1"/>
    <col min="5" max="5" width="16" bestFit="1" customWidth="1"/>
    <col min="6" max="6" width="16" customWidth="1"/>
    <col min="7" max="7" width="20.140625" bestFit="1" customWidth="1"/>
  </cols>
  <sheetData>
    <row r="1" spans="1:11" x14ac:dyDescent="0.25">
      <c r="A1" t="s">
        <v>15</v>
      </c>
    </row>
    <row r="2" spans="1:11" x14ac:dyDescent="0.25">
      <c r="A2" t="s">
        <v>41</v>
      </c>
    </row>
    <row r="3" spans="1:11" x14ac:dyDescent="0.25">
      <c r="D3" t="s">
        <v>138</v>
      </c>
      <c r="E3" t="s">
        <v>37</v>
      </c>
      <c r="F3" t="s">
        <v>61</v>
      </c>
      <c r="G3" t="s">
        <v>40</v>
      </c>
      <c r="H3" t="s">
        <v>36</v>
      </c>
      <c r="K3" t="s">
        <v>135</v>
      </c>
    </row>
    <row r="4" spans="1:11" x14ac:dyDescent="0.25">
      <c r="A4" t="s">
        <v>39</v>
      </c>
      <c r="C4" t="s">
        <v>0</v>
      </c>
      <c r="D4">
        <v>23</v>
      </c>
      <c r="E4">
        <v>16</v>
      </c>
      <c r="F4">
        <v>16</v>
      </c>
      <c r="G4">
        <v>10</v>
      </c>
      <c r="H4">
        <f>G4/E4</f>
        <v>0.625</v>
      </c>
      <c r="K4">
        <f>E4/D4</f>
        <v>0.69565217391304346</v>
      </c>
    </row>
    <row r="5" spans="1:11" x14ac:dyDescent="0.25">
      <c r="C5" t="s">
        <v>1</v>
      </c>
      <c r="D5">
        <v>23</v>
      </c>
      <c r="E5">
        <v>20</v>
      </c>
      <c r="F5">
        <v>20</v>
      </c>
      <c r="G5">
        <v>14</v>
      </c>
      <c r="H5">
        <f t="shared" ref="H5:H11" si="0">G5/E5</f>
        <v>0.7</v>
      </c>
      <c r="K5">
        <f t="shared" ref="K5:K11" si="1">E5/D5</f>
        <v>0.86956521739130432</v>
      </c>
    </row>
    <row r="6" spans="1:11" x14ac:dyDescent="0.25">
      <c r="C6" t="s">
        <v>2</v>
      </c>
      <c r="D6">
        <v>23</v>
      </c>
      <c r="E6">
        <v>21</v>
      </c>
      <c r="F6">
        <v>21</v>
      </c>
      <c r="G6">
        <v>13</v>
      </c>
      <c r="H6">
        <f t="shared" si="0"/>
        <v>0.61904761904761907</v>
      </c>
      <c r="K6">
        <f t="shared" si="1"/>
        <v>0.91304347826086951</v>
      </c>
    </row>
    <row r="7" spans="1:11" x14ac:dyDescent="0.25">
      <c r="C7" t="s">
        <v>3</v>
      </c>
      <c r="D7">
        <v>23</v>
      </c>
      <c r="E7">
        <v>19</v>
      </c>
      <c r="F7">
        <v>19</v>
      </c>
      <c r="G7">
        <v>13</v>
      </c>
      <c r="H7">
        <f t="shared" si="0"/>
        <v>0.68421052631578949</v>
      </c>
      <c r="K7">
        <f t="shared" si="1"/>
        <v>0.82608695652173914</v>
      </c>
    </row>
    <row r="8" spans="1:11" x14ac:dyDescent="0.25">
      <c r="C8" t="s">
        <v>20</v>
      </c>
      <c r="D8">
        <v>23</v>
      </c>
      <c r="E8">
        <v>22</v>
      </c>
      <c r="F8">
        <v>22</v>
      </c>
      <c r="G8">
        <v>15</v>
      </c>
      <c r="H8">
        <f t="shared" si="0"/>
        <v>0.68181818181818177</v>
      </c>
      <c r="K8">
        <f t="shared" si="1"/>
        <v>0.95652173913043481</v>
      </c>
    </row>
    <row r="9" spans="1:11" x14ac:dyDescent="0.25">
      <c r="C9" t="s">
        <v>21</v>
      </c>
      <c r="D9">
        <v>23</v>
      </c>
      <c r="E9">
        <v>13</v>
      </c>
      <c r="F9">
        <v>13</v>
      </c>
      <c r="G9">
        <v>10</v>
      </c>
      <c r="H9">
        <f t="shared" si="0"/>
        <v>0.76923076923076927</v>
      </c>
      <c r="K9">
        <f t="shared" si="1"/>
        <v>0.56521739130434778</v>
      </c>
    </row>
    <row r="10" spans="1:11" x14ac:dyDescent="0.25">
      <c r="C10" t="s">
        <v>22</v>
      </c>
      <c r="D10">
        <v>23</v>
      </c>
      <c r="E10">
        <v>17</v>
      </c>
      <c r="F10">
        <v>17</v>
      </c>
      <c r="G10">
        <v>14</v>
      </c>
      <c r="H10">
        <f t="shared" si="0"/>
        <v>0.82352941176470584</v>
      </c>
      <c r="K10">
        <f t="shared" si="1"/>
        <v>0.73913043478260865</v>
      </c>
    </row>
    <row r="11" spans="1:11" x14ac:dyDescent="0.25">
      <c r="C11" t="s">
        <v>23</v>
      </c>
      <c r="D11">
        <v>23</v>
      </c>
      <c r="E11">
        <v>21</v>
      </c>
      <c r="F11">
        <v>21</v>
      </c>
      <c r="G11">
        <v>15</v>
      </c>
      <c r="H11">
        <f t="shared" si="0"/>
        <v>0.7142857142857143</v>
      </c>
      <c r="K11">
        <f t="shared" si="1"/>
        <v>0.91304347826086951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BB62-C1DE-4D72-ABD5-5206075D1B35}">
  <dimension ref="A1:N28"/>
  <sheetViews>
    <sheetView workbookViewId="0">
      <selection activeCell="N18" sqref="N18"/>
    </sheetView>
  </sheetViews>
  <sheetFormatPr defaultRowHeight="15" x14ac:dyDescent="0.25"/>
  <cols>
    <col min="1" max="1" width="47.140625" bestFit="1" customWidth="1"/>
    <col min="3" max="3" width="5.5703125" bestFit="1" customWidth="1"/>
    <col min="5" max="5" width="15" bestFit="1" customWidth="1"/>
    <col min="9" max="9" width="15.85546875" bestFit="1" customWidth="1"/>
  </cols>
  <sheetData>
    <row r="1" spans="1:8" x14ac:dyDescent="0.25">
      <c r="A1" t="s">
        <v>6</v>
      </c>
    </row>
    <row r="2" spans="1:8" x14ac:dyDescent="0.25">
      <c r="D2" t="s">
        <v>138</v>
      </c>
      <c r="E2" t="s">
        <v>139</v>
      </c>
      <c r="H2" t="s">
        <v>135</v>
      </c>
    </row>
    <row r="3" spans="1:8" x14ac:dyDescent="0.25">
      <c r="B3" t="s">
        <v>0</v>
      </c>
      <c r="D3">
        <v>32</v>
      </c>
      <c r="E3">
        <v>27</v>
      </c>
      <c r="H3">
        <f>E3/D3</f>
        <v>0.84375</v>
      </c>
    </row>
    <row r="4" spans="1:8" x14ac:dyDescent="0.25">
      <c r="B4" t="s">
        <v>1</v>
      </c>
      <c r="D4">
        <v>32</v>
      </c>
      <c r="E4">
        <v>23</v>
      </c>
      <c r="H4">
        <f t="shared" ref="H4:H12" si="0">E4/D4</f>
        <v>0.71875</v>
      </c>
    </row>
    <row r="5" spans="1:8" x14ac:dyDescent="0.25">
      <c r="B5" t="s">
        <v>2</v>
      </c>
      <c r="D5">
        <v>32</v>
      </c>
      <c r="E5">
        <v>27</v>
      </c>
      <c r="H5">
        <f t="shared" si="0"/>
        <v>0.84375</v>
      </c>
    </row>
    <row r="6" spans="1:8" x14ac:dyDescent="0.25">
      <c r="B6" t="s">
        <v>3</v>
      </c>
      <c r="D6">
        <v>32</v>
      </c>
      <c r="E6">
        <v>30</v>
      </c>
      <c r="H6">
        <f t="shared" si="0"/>
        <v>0.9375</v>
      </c>
    </row>
    <row r="7" spans="1:8" x14ac:dyDescent="0.25">
      <c r="B7" t="s">
        <v>4</v>
      </c>
      <c r="D7">
        <v>32</v>
      </c>
      <c r="E7">
        <v>32</v>
      </c>
      <c r="H7">
        <f t="shared" si="0"/>
        <v>1</v>
      </c>
    </row>
    <row r="8" spans="1:8" x14ac:dyDescent="0.25">
      <c r="B8" t="s">
        <v>20</v>
      </c>
      <c r="D8">
        <v>32</v>
      </c>
      <c r="E8">
        <v>24</v>
      </c>
      <c r="H8">
        <f t="shared" si="0"/>
        <v>0.75</v>
      </c>
    </row>
    <row r="9" spans="1:8" x14ac:dyDescent="0.25">
      <c r="B9" t="s">
        <v>21</v>
      </c>
      <c r="D9">
        <v>32</v>
      </c>
      <c r="E9">
        <v>30</v>
      </c>
      <c r="H9">
        <f t="shared" si="0"/>
        <v>0.9375</v>
      </c>
    </row>
    <row r="10" spans="1:8" x14ac:dyDescent="0.25">
      <c r="B10" t="s">
        <v>22</v>
      </c>
      <c r="D10">
        <v>32</v>
      </c>
      <c r="E10">
        <v>18</v>
      </c>
      <c r="F10" t="s">
        <v>5</v>
      </c>
      <c r="H10" t="s">
        <v>140</v>
      </c>
    </row>
    <row r="11" spans="1:8" x14ac:dyDescent="0.25">
      <c r="B11" t="s">
        <v>23</v>
      </c>
      <c r="D11">
        <v>32</v>
      </c>
      <c r="E11">
        <v>30</v>
      </c>
      <c r="H11">
        <f t="shared" si="0"/>
        <v>0.9375</v>
      </c>
    </row>
    <row r="12" spans="1:8" x14ac:dyDescent="0.25">
      <c r="B12" t="s">
        <v>24</v>
      </c>
      <c r="D12">
        <v>32</v>
      </c>
      <c r="E12">
        <v>31</v>
      </c>
      <c r="H12">
        <f t="shared" si="0"/>
        <v>0.96875</v>
      </c>
    </row>
    <row r="17" spans="1:14" x14ac:dyDescent="0.25">
      <c r="A17" t="s">
        <v>14</v>
      </c>
    </row>
    <row r="18" spans="1:14" x14ac:dyDescent="0.25">
      <c r="A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  <c r="H18" t="s">
        <v>29</v>
      </c>
      <c r="I18" t="s">
        <v>61</v>
      </c>
      <c r="J18" t="s">
        <v>60</v>
      </c>
      <c r="K18" t="s">
        <v>36</v>
      </c>
      <c r="N18" t="s">
        <v>135</v>
      </c>
    </row>
    <row r="19" spans="1:14" x14ac:dyDescent="0.25">
      <c r="A19" t="s">
        <v>34</v>
      </c>
      <c r="B19" t="s">
        <v>0</v>
      </c>
      <c r="C19">
        <v>19</v>
      </c>
      <c r="D19">
        <v>19</v>
      </c>
      <c r="E19">
        <v>18</v>
      </c>
      <c r="F19">
        <v>18</v>
      </c>
      <c r="G19">
        <v>18</v>
      </c>
      <c r="H19">
        <v>15</v>
      </c>
      <c r="I19">
        <v>15</v>
      </c>
      <c r="J19">
        <v>8</v>
      </c>
      <c r="K19">
        <f>J19/I19</f>
        <v>0.53333333333333333</v>
      </c>
      <c r="N19">
        <f>H19/C19</f>
        <v>0.78947368421052633</v>
      </c>
    </row>
    <row r="20" spans="1:14" x14ac:dyDescent="0.25">
      <c r="B20" t="s">
        <v>1</v>
      </c>
      <c r="C20">
        <v>19</v>
      </c>
      <c r="D20">
        <v>19</v>
      </c>
      <c r="E20">
        <v>19</v>
      </c>
      <c r="F20">
        <v>19</v>
      </c>
      <c r="G20">
        <v>19</v>
      </c>
      <c r="H20">
        <v>17</v>
      </c>
      <c r="I20">
        <v>17</v>
      </c>
      <c r="J20">
        <v>3</v>
      </c>
      <c r="K20">
        <f t="shared" ref="K20:K28" si="1">J20/I20</f>
        <v>0.17647058823529413</v>
      </c>
      <c r="N20">
        <f t="shared" ref="N20:N28" si="2">H20/C20</f>
        <v>0.89473684210526316</v>
      </c>
    </row>
    <row r="21" spans="1:14" x14ac:dyDescent="0.25">
      <c r="B21" t="s">
        <v>2</v>
      </c>
      <c r="C21">
        <v>19</v>
      </c>
      <c r="D21">
        <v>18</v>
      </c>
      <c r="E21">
        <v>18</v>
      </c>
      <c r="F21">
        <v>18</v>
      </c>
      <c r="G21">
        <v>18</v>
      </c>
      <c r="H21">
        <v>18</v>
      </c>
      <c r="I21">
        <v>18</v>
      </c>
      <c r="J21">
        <v>5</v>
      </c>
      <c r="K21">
        <f t="shared" si="1"/>
        <v>0.27777777777777779</v>
      </c>
      <c r="N21">
        <f t="shared" si="2"/>
        <v>0.94736842105263153</v>
      </c>
    </row>
    <row r="22" spans="1:14" x14ac:dyDescent="0.25">
      <c r="B22" t="s">
        <v>3</v>
      </c>
      <c r="C22">
        <v>19</v>
      </c>
      <c r="D22">
        <v>19</v>
      </c>
      <c r="E22">
        <v>19</v>
      </c>
      <c r="F22">
        <v>19</v>
      </c>
      <c r="G22">
        <v>18</v>
      </c>
      <c r="H22">
        <v>14</v>
      </c>
      <c r="I22">
        <v>14</v>
      </c>
      <c r="J22">
        <v>3</v>
      </c>
      <c r="K22">
        <f t="shared" si="1"/>
        <v>0.21428571428571427</v>
      </c>
      <c r="N22">
        <f t="shared" si="2"/>
        <v>0.73684210526315785</v>
      </c>
    </row>
    <row r="23" spans="1:14" x14ac:dyDescent="0.25">
      <c r="B23" t="s">
        <v>4</v>
      </c>
      <c r="C23">
        <v>19</v>
      </c>
      <c r="D23">
        <v>19</v>
      </c>
      <c r="E23">
        <v>19</v>
      </c>
      <c r="F23">
        <v>19</v>
      </c>
      <c r="G23">
        <v>18</v>
      </c>
      <c r="H23">
        <v>11</v>
      </c>
      <c r="I23">
        <v>11</v>
      </c>
      <c r="J23">
        <v>2</v>
      </c>
      <c r="K23">
        <f t="shared" si="1"/>
        <v>0.18181818181818182</v>
      </c>
      <c r="N23">
        <f t="shared" si="2"/>
        <v>0.57894736842105265</v>
      </c>
    </row>
    <row r="24" spans="1:14" x14ac:dyDescent="0.25">
      <c r="B24" t="s">
        <v>20</v>
      </c>
      <c r="C24">
        <v>19</v>
      </c>
      <c r="D24">
        <v>19</v>
      </c>
      <c r="E24">
        <v>19</v>
      </c>
      <c r="F24">
        <v>17</v>
      </c>
      <c r="G24">
        <v>17</v>
      </c>
      <c r="H24">
        <v>11</v>
      </c>
      <c r="I24">
        <v>11</v>
      </c>
      <c r="J24">
        <v>1</v>
      </c>
      <c r="K24">
        <f t="shared" si="1"/>
        <v>9.0909090909090912E-2</v>
      </c>
      <c r="N24">
        <f t="shared" si="2"/>
        <v>0.57894736842105265</v>
      </c>
    </row>
    <row r="25" spans="1:14" x14ac:dyDescent="0.25">
      <c r="B25" t="s">
        <v>21</v>
      </c>
      <c r="C25">
        <v>19</v>
      </c>
      <c r="D25">
        <v>19</v>
      </c>
      <c r="E25">
        <v>19</v>
      </c>
      <c r="F25">
        <v>19</v>
      </c>
      <c r="G25">
        <v>19</v>
      </c>
      <c r="H25">
        <v>16</v>
      </c>
      <c r="I25">
        <v>16</v>
      </c>
      <c r="J25">
        <v>14</v>
      </c>
      <c r="K25">
        <f t="shared" si="1"/>
        <v>0.875</v>
      </c>
      <c r="N25">
        <f t="shared" si="2"/>
        <v>0.84210526315789469</v>
      </c>
    </row>
    <row r="26" spans="1:14" x14ac:dyDescent="0.25">
      <c r="B26" t="s">
        <v>22</v>
      </c>
      <c r="C26">
        <v>19</v>
      </c>
      <c r="D26">
        <v>18</v>
      </c>
      <c r="E26">
        <v>18</v>
      </c>
      <c r="F26">
        <v>18</v>
      </c>
      <c r="G26">
        <v>18</v>
      </c>
      <c r="H26">
        <v>13</v>
      </c>
      <c r="I26">
        <v>13</v>
      </c>
      <c r="J26">
        <v>3</v>
      </c>
      <c r="K26">
        <f t="shared" si="1"/>
        <v>0.23076923076923078</v>
      </c>
      <c r="N26">
        <f t="shared" si="2"/>
        <v>0.68421052631578949</v>
      </c>
    </row>
    <row r="27" spans="1:14" x14ac:dyDescent="0.25">
      <c r="B27" t="s">
        <v>23</v>
      </c>
      <c r="C27">
        <v>19</v>
      </c>
      <c r="D27">
        <v>19</v>
      </c>
      <c r="E27">
        <v>18</v>
      </c>
      <c r="F27">
        <v>18</v>
      </c>
      <c r="G27">
        <v>18</v>
      </c>
      <c r="H27">
        <v>13</v>
      </c>
      <c r="I27">
        <v>13</v>
      </c>
      <c r="J27">
        <v>4</v>
      </c>
      <c r="K27">
        <f t="shared" si="1"/>
        <v>0.30769230769230771</v>
      </c>
      <c r="N27">
        <f t="shared" si="2"/>
        <v>0.68421052631578949</v>
      </c>
    </row>
    <row r="28" spans="1:14" x14ac:dyDescent="0.25">
      <c r="B28" t="s">
        <v>24</v>
      </c>
      <c r="C28">
        <v>19</v>
      </c>
      <c r="D28">
        <v>19</v>
      </c>
      <c r="E28">
        <v>19</v>
      </c>
      <c r="F28">
        <v>19</v>
      </c>
      <c r="G28">
        <v>19</v>
      </c>
      <c r="H28">
        <v>14</v>
      </c>
      <c r="I28">
        <v>14</v>
      </c>
      <c r="J28">
        <v>9</v>
      </c>
      <c r="K28">
        <f t="shared" si="1"/>
        <v>0.6428571428571429</v>
      </c>
      <c r="N28">
        <f t="shared" si="2"/>
        <v>0.73684210526315785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A7A4-4971-49B5-996B-7A6A025BC02D}">
  <dimension ref="A1:M35"/>
  <sheetViews>
    <sheetView workbookViewId="0">
      <selection activeCell="M1" sqref="M1"/>
    </sheetView>
  </sheetViews>
  <sheetFormatPr defaultRowHeight="15" x14ac:dyDescent="0.25"/>
  <cols>
    <col min="1" max="1" width="22.28515625" bestFit="1" customWidth="1"/>
    <col min="2" max="2" width="15" bestFit="1" customWidth="1"/>
    <col min="3" max="3" width="15" customWidth="1"/>
    <col min="4" max="4" width="24.140625" bestFit="1" customWidth="1"/>
    <col min="9" max="9" width="12" bestFit="1" customWidth="1"/>
    <col min="11" max="11" width="23" bestFit="1" customWidth="1"/>
  </cols>
  <sheetData>
    <row r="1" spans="1:13" x14ac:dyDescent="0.25">
      <c r="C1" t="s">
        <v>57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29</v>
      </c>
      <c r="J1" t="s">
        <v>30</v>
      </c>
      <c r="K1" t="s">
        <v>62</v>
      </c>
      <c r="M1" t="s">
        <v>135</v>
      </c>
    </row>
    <row r="2" spans="1:13" x14ac:dyDescent="0.25">
      <c r="A2" t="s">
        <v>15</v>
      </c>
      <c r="B2" t="s">
        <v>0</v>
      </c>
      <c r="C2">
        <v>33</v>
      </c>
      <c r="D2">
        <v>33</v>
      </c>
      <c r="E2">
        <v>33</v>
      </c>
      <c r="F2">
        <v>32</v>
      </c>
      <c r="G2">
        <v>32</v>
      </c>
      <c r="H2">
        <v>32</v>
      </c>
      <c r="I2">
        <v>32</v>
      </c>
      <c r="J2">
        <v>32</v>
      </c>
      <c r="K2">
        <v>15</v>
      </c>
      <c r="M2">
        <f>J2/C2</f>
        <v>0.96969696969696972</v>
      </c>
    </row>
    <row r="3" spans="1:13" x14ac:dyDescent="0.25">
      <c r="A3" t="s">
        <v>64</v>
      </c>
      <c r="B3" t="s">
        <v>1</v>
      </c>
      <c r="C3">
        <v>31</v>
      </c>
      <c r="D3">
        <v>30</v>
      </c>
      <c r="E3">
        <v>29</v>
      </c>
      <c r="F3">
        <v>29</v>
      </c>
      <c r="G3">
        <v>29</v>
      </c>
      <c r="H3">
        <v>29</v>
      </c>
      <c r="I3">
        <v>29</v>
      </c>
      <c r="J3">
        <v>29</v>
      </c>
      <c r="K3">
        <v>15</v>
      </c>
      <c r="M3">
        <f t="shared" ref="M3:M19" si="0">J3/C3</f>
        <v>0.93548387096774188</v>
      </c>
    </row>
    <row r="4" spans="1:13" x14ac:dyDescent="0.25">
      <c r="B4" t="s">
        <v>2</v>
      </c>
      <c r="C4">
        <v>31</v>
      </c>
      <c r="D4">
        <v>31</v>
      </c>
      <c r="E4">
        <v>31</v>
      </c>
      <c r="F4">
        <v>31</v>
      </c>
      <c r="G4">
        <v>31</v>
      </c>
      <c r="H4">
        <v>31</v>
      </c>
      <c r="I4">
        <v>30</v>
      </c>
      <c r="J4">
        <v>30</v>
      </c>
      <c r="K4">
        <v>15</v>
      </c>
      <c r="M4">
        <f t="shared" si="0"/>
        <v>0.967741935483871</v>
      </c>
    </row>
    <row r="5" spans="1:13" x14ac:dyDescent="0.25">
      <c r="B5" t="s">
        <v>3</v>
      </c>
      <c r="C5">
        <v>34</v>
      </c>
      <c r="D5">
        <v>34</v>
      </c>
      <c r="E5">
        <v>32</v>
      </c>
      <c r="F5">
        <v>32</v>
      </c>
      <c r="G5">
        <v>32</v>
      </c>
      <c r="H5">
        <v>32</v>
      </c>
      <c r="I5">
        <v>32</v>
      </c>
      <c r="J5">
        <v>31</v>
      </c>
      <c r="K5">
        <v>15</v>
      </c>
      <c r="M5">
        <f t="shared" si="0"/>
        <v>0.91176470588235292</v>
      </c>
    </row>
    <row r="6" spans="1:13" x14ac:dyDescent="0.25">
      <c r="B6" t="s">
        <v>4</v>
      </c>
      <c r="C6">
        <v>32</v>
      </c>
      <c r="D6">
        <v>32</v>
      </c>
      <c r="E6">
        <v>32</v>
      </c>
      <c r="F6">
        <v>32</v>
      </c>
      <c r="G6">
        <v>32</v>
      </c>
      <c r="H6">
        <v>32</v>
      </c>
      <c r="I6">
        <v>32</v>
      </c>
      <c r="J6">
        <v>32</v>
      </c>
      <c r="K6">
        <v>15</v>
      </c>
      <c r="M6">
        <f t="shared" si="0"/>
        <v>1</v>
      </c>
    </row>
    <row r="7" spans="1:13" x14ac:dyDescent="0.25">
      <c r="B7" t="s">
        <v>16</v>
      </c>
      <c r="C7">
        <v>32</v>
      </c>
      <c r="D7">
        <v>31</v>
      </c>
      <c r="E7">
        <v>30</v>
      </c>
      <c r="F7">
        <v>30</v>
      </c>
      <c r="G7">
        <v>30</v>
      </c>
      <c r="H7">
        <v>30</v>
      </c>
      <c r="I7">
        <v>30</v>
      </c>
      <c r="J7">
        <v>30</v>
      </c>
      <c r="K7">
        <v>15</v>
      </c>
      <c r="M7">
        <f t="shared" si="0"/>
        <v>0.9375</v>
      </c>
    </row>
    <row r="8" spans="1:13" x14ac:dyDescent="0.25">
      <c r="B8" t="s">
        <v>17</v>
      </c>
      <c r="C8">
        <v>34</v>
      </c>
      <c r="D8">
        <v>33</v>
      </c>
      <c r="E8">
        <v>33</v>
      </c>
      <c r="F8">
        <v>33</v>
      </c>
      <c r="G8">
        <v>33</v>
      </c>
      <c r="H8">
        <v>33</v>
      </c>
      <c r="I8">
        <v>33</v>
      </c>
      <c r="J8">
        <v>32</v>
      </c>
      <c r="K8">
        <v>15</v>
      </c>
      <c r="M8">
        <f t="shared" si="0"/>
        <v>0.94117647058823528</v>
      </c>
    </row>
    <row r="9" spans="1:13" x14ac:dyDescent="0.25">
      <c r="B9" t="s">
        <v>18</v>
      </c>
      <c r="C9">
        <v>30</v>
      </c>
      <c r="D9">
        <v>28</v>
      </c>
      <c r="E9">
        <v>19</v>
      </c>
      <c r="F9">
        <v>17</v>
      </c>
      <c r="G9">
        <v>16</v>
      </c>
      <c r="H9">
        <v>16</v>
      </c>
      <c r="I9">
        <v>16</v>
      </c>
      <c r="J9">
        <v>15</v>
      </c>
      <c r="M9">
        <f t="shared" si="0"/>
        <v>0.5</v>
      </c>
    </row>
    <row r="10" spans="1:13" x14ac:dyDescent="0.25">
      <c r="B10" t="s">
        <v>19</v>
      </c>
      <c r="C10">
        <v>34</v>
      </c>
      <c r="D10">
        <v>26</v>
      </c>
      <c r="E10">
        <v>21</v>
      </c>
      <c r="F10">
        <v>18</v>
      </c>
      <c r="G10">
        <v>18</v>
      </c>
      <c r="H10">
        <v>15</v>
      </c>
      <c r="I10">
        <v>15</v>
      </c>
      <c r="J10">
        <v>14</v>
      </c>
      <c r="M10">
        <f t="shared" si="0"/>
        <v>0.41176470588235292</v>
      </c>
    </row>
    <row r="11" spans="1:13" x14ac:dyDescent="0.25">
      <c r="B11" t="s">
        <v>20</v>
      </c>
      <c r="C11">
        <v>32</v>
      </c>
      <c r="D11">
        <v>30</v>
      </c>
      <c r="E11">
        <v>30</v>
      </c>
      <c r="F11">
        <v>30</v>
      </c>
      <c r="G11">
        <v>30</v>
      </c>
      <c r="H11">
        <v>30</v>
      </c>
      <c r="I11">
        <v>30</v>
      </c>
      <c r="J11">
        <v>30</v>
      </c>
      <c r="K11">
        <v>15</v>
      </c>
      <c r="M11">
        <f t="shared" si="0"/>
        <v>0.9375</v>
      </c>
    </row>
    <row r="12" spans="1:13" x14ac:dyDescent="0.25">
      <c r="B12" t="s">
        <v>21</v>
      </c>
      <c r="C12">
        <v>32</v>
      </c>
      <c r="D12">
        <v>30</v>
      </c>
      <c r="E12">
        <v>30</v>
      </c>
      <c r="F12">
        <v>30</v>
      </c>
      <c r="G12">
        <v>30</v>
      </c>
      <c r="H12">
        <v>30</v>
      </c>
      <c r="I12">
        <v>30</v>
      </c>
      <c r="J12">
        <v>30</v>
      </c>
      <c r="K12">
        <v>15</v>
      </c>
      <c r="M12">
        <f t="shared" si="0"/>
        <v>0.9375</v>
      </c>
    </row>
    <row r="13" spans="1:13" x14ac:dyDescent="0.25">
      <c r="B13" t="s">
        <v>22</v>
      </c>
      <c r="C13">
        <v>32</v>
      </c>
      <c r="D13">
        <v>32</v>
      </c>
      <c r="E13">
        <v>32</v>
      </c>
      <c r="F13">
        <v>32</v>
      </c>
      <c r="G13">
        <v>32</v>
      </c>
      <c r="H13">
        <v>32</v>
      </c>
      <c r="I13">
        <v>32</v>
      </c>
      <c r="J13">
        <v>32</v>
      </c>
      <c r="K13">
        <v>15</v>
      </c>
      <c r="M13">
        <f t="shared" si="0"/>
        <v>1</v>
      </c>
    </row>
    <row r="14" spans="1:13" x14ac:dyDescent="0.25">
      <c r="B14" t="s">
        <v>23</v>
      </c>
      <c r="C14">
        <v>32</v>
      </c>
      <c r="D14">
        <v>31</v>
      </c>
      <c r="E14">
        <v>31</v>
      </c>
      <c r="F14">
        <v>31</v>
      </c>
      <c r="G14">
        <v>31</v>
      </c>
      <c r="H14">
        <v>31</v>
      </c>
      <c r="I14">
        <v>31</v>
      </c>
      <c r="J14">
        <v>31</v>
      </c>
      <c r="K14">
        <v>15</v>
      </c>
      <c r="M14">
        <f t="shared" si="0"/>
        <v>0.96875</v>
      </c>
    </row>
    <row r="15" spans="1:13" x14ac:dyDescent="0.25">
      <c r="B15" t="s">
        <v>24</v>
      </c>
      <c r="C15">
        <v>32</v>
      </c>
      <c r="D15">
        <v>32</v>
      </c>
      <c r="E15">
        <v>32</v>
      </c>
      <c r="F15">
        <v>32</v>
      </c>
      <c r="G15">
        <v>32</v>
      </c>
      <c r="H15">
        <v>32</v>
      </c>
      <c r="I15">
        <v>32</v>
      </c>
      <c r="J15">
        <v>32</v>
      </c>
      <c r="K15">
        <v>15</v>
      </c>
      <c r="M15">
        <f t="shared" si="0"/>
        <v>1</v>
      </c>
    </row>
    <row r="16" spans="1:13" x14ac:dyDescent="0.25">
      <c r="B16" t="s">
        <v>25</v>
      </c>
      <c r="C16">
        <v>32</v>
      </c>
      <c r="D16">
        <v>32</v>
      </c>
      <c r="E16">
        <v>31</v>
      </c>
      <c r="F16">
        <v>31</v>
      </c>
      <c r="G16">
        <v>31</v>
      </c>
      <c r="H16">
        <v>31</v>
      </c>
      <c r="I16">
        <v>31</v>
      </c>
      <c r="J16">
        <v>29</v>
      </c>
      <c r="K16">
        <v>15</v>
      </c>
      <c r="M16">
        <f t="shared" si="0"/>
        <v>0.90625</v>
      </c>
    </row>
    <row r="17" spans="1:13" x14ac:dyDescent="0.25">
      <c r="B17" t="s">
        <v>26</v>
      </c>
      <c r="C17">
        <v>32</v>
      </c>
      <c r="D17">
        <v>32</v>
      </c>
      <c r="E17">
        <v>32</v>
      </c>
      <c r="F17">
        <v>32</v>
      </c>
      <c r="G17">
        <v>32</v>
      </c>
      <c r="H17">
        <v>32</v>
      </c>
      <c r="I17">
        <v>32</v>
      </c>
      <c r="J17">
        <v>27</v>
      </c>
      <c r="K17">
        <v>15</v>
      </c>
      <c r="M17">
        <f t="shared" si="0"/>
        <v>0.84375</v>
      </c>
    </row>
    <row r="18" spans="1:13" x14ac:dyDescent="0.25">
      <c r="B18" t="s">
        <v>27</v>
      </c>
      <c r="C18">
        <v>30</v>
      </c>
      <c r="D18">
        <v>25</v>
      </c>
      <c r="E18">
        <v>24</v>
      </c>
      <c r="F18">
        <v>23</v>
      </c>
      <c r="G18">
        <v>22</v>
      </c>
      <c r="H18">
        <v>21</v>
      </c>
      <c r="I18">
        <v>21</v>
      </c>
      <c r="J18">
        <v>21</v>
      </c>
      <c r="M18">
        <f t="shared" si="0"/>
        <v>0.7</v>
      </c>
    </row>
    <row r="19" spans="1:13" x14ac:dyDescent="0.25">
      <c r="B19" t="s">
        <v>28</v>
      </c>
      <c r="C19">
        <v>33</v>
      </c>
      <c r="D19">
        <v>21</v>
      </c>
      <c r="E19">
        <v>21</v>
      </c>
      <c r="F19">
        <v>20</v>
      </c>
      <c r="G19">
        <v>20</v>
      </c>
      <c r="H19">
        <v>20</v>
      </c>
      <c r="I19">
        <v>20</v>
      </c>
      <c r="J19">
        <v>20</v>
      </c>
      <c r="M19">
        <f t="shared" si="0"/>
        <v>0.60606060606060608</v>
      </c>
    </row>
    <row r="21" spans="1:13" x14ac:dyDescent="0.25">
      <c r="C21" t="s">
        <v>57</v>
      </c>
      <c r="D21" t="s">
        <v>65</v>
      </c>
      <c r="E21" t="s">
        <v>63</v>
      </c>
      <c r="F21" t="s">
        <v>36</v>
      </c>
      <c r="H21" t="s">
        <v>135</v>
      </c>
    </row>
    <row r="22" spans="1:13" x14ac:dyDescent="0.25">
      <c r="A22" t="s">
        <v>7</v>
      </c>
      <c r="B22" t="s">
        <v>0</v>
      </c>
      <c r="C22">
        <v>31</v>
      </c>
      <c r="D22">
        <v>26</v>
      </c>
      <c r="E22">
        <v>9</v>
      </c>
      <c r="F22">
        <f>E22/D22</f>
        <v>0.34615384615384615</v>
      </c>
      <c r="H22">
        <f>D22/C22</f>
        <v>0.83870967741935487</v>
      </c>
    </row>
    <row r="23" spans="1:13" x14ac:dyDescent="0.25">
      <c r="A23" t="s">
        <v>130</v>
      </c>
      <c r="B23" s="2" t="s">
        <v>1</v>
      </c>
      <c r="C23" s="2">
        <v>31</v>
      </c>
      <c r="D23" s="2">
        <v>14</v>
      </c>
      <c r="E23" s="2">
        <v>11</v>
      </c>
      <c r="F23" s="2">
        <f t="shared" ref="F23:F35" si="1">E23/D23</f>
        <v>0.7857142857142857</v>
      </c>
      <c r="H23">
        <f t="shared" ref="H23:H35" si="2">D23/C23</f>
        <v>0.45161290322580644</v>
      </c>
    </row>
    <row r="24" spans="1:13" x14ac:dyDescent="0.25">
      <c r="A24" t="s">
        <v>131</v>
      </c>
      <c r="B24" t="s">
        <v>2</v>
      </c>
      <c r="C24">
        <v>31</v>
      </c>
      <c r="D24">
        <v>16</v>
      </c>
      <c r="E24">
        <v>1</v>
      </c>
      <c r="F24">
        <f t="shared" si="1"/>
        <v>6.25E-2</v>
      </c>
      <c r="H24">
        <f t="shared" si="2"/>
        <v>0.5161290322580645</v>
      </c>
    </row>
    <row r="25" spans="1:13" x14ac:dyDescent="0.25">
      <c r="B25" t="s">
        <v>3</v>
      </c>
      <c r="C25">
        <v>32</v>
      </c>
      <c r="D25">
        <v>13</v>
      </c>
      <c r="E25">
        <v>1</v>
      </c>
      <c r="F25">
        <f t="shared" si="1"/>
        <v>7.6923076923076927E-2</v>
      </c>
      <c r="H25">
        <f t="shared" si="2"/>
        <v>0.40625</v>
      </c>
    </row>
    <row r="26" spans="1:13" x14ac:dyDescent="0.25">
      <c r="B26" t="s">
        <v>4</v>
      </c>
      <c r="C26">
        <v>31</v>
      </c>
      <c r="D26">
        <v>24</v>
      </c>
      <c r="E26">
        <v>8</v>
      </c>
      <c r="F26">
        <f t="shared" si="1"/>
        <v>0.33333333333333331</v>
      </c>
      <c r="H26">
        <f t="shared" si="2"/>
        <v>0.77419354838709675</v>
      </c>
    </row>
    <row r="27" spans="1:13" x14ac:dyDescent="0.25">
      <c r="B27" t="s">
        <v>16</v>
      </c>
      <c r="C27">
        <v>31</v>
      </c>
      <c r="D27">
        <v>13</v>
      </c>
      <c r="E27">
        <v>3</v>
      </c>
      <c r="F27">
        <f t="shared" si="1"/>
        <v>0.23076923076923078</v>
      </c>
      <c r="H27">
        <f t="shared" si="2"/>
        <v>0.41935483870967744</v>
      </c>
    </row>
    <row r="28" spans="1:13" x14ac:dyDescent="0.25">
      <c r="B28" t="s">
        <v>17</v>
      </c>
      <c r="C28">
        <v>31</v>
      </c>
      <c r="D28">
        <v>24</v>
      </c>
      <c r="E28">
        <v>3</v>
      </c>
      <c r="F28">
        <f t="shared" si="1"/>
        <v>0.125</v>
      </c>
      <c r="H28">
        <f t="shared" si="2"/>
        <v>0.77419354838709675</v>
      </c>
    </row>
    <row r="29" spans="1:13" x14ac:dyDescent="0.25">
      <c r="B29" t="s">
        <v>20</v>
      </c>
      <c r="C29">
        <v>31</v>
      </c>
      <c r="D29">
        <v>24</v>
      </c>
      <c r="E29">
        <v>10</v>
      </c>
      <c r="F29">
        <f t="shared" si="1"/>
        <v>0.41666666666666669</v>
      </c>
      <c r="H29">
        <f t="shared" si="2"/>
        <v>0.77419354838709675</v>
      </c>
    </row>
    <row r="30" spans="1:13" x14ac:dyDescent="0.25">
      <c r="B30" t="s">
        <v>21</v>
      </c>
      <c r="C30">
        <v>31</v>
      </c>
      <c r="D30">
        <v>19</v>
      </c>
      <c r="E30">
        <v>5</v>
      </c>
      <c r="F30">
        <f t="shared" si="1"/>
        <v>0.26315789473684209</v>
      </c>
      <c r="H30">
        <f t="shared" si="2"/>
        <v>0.61290322580645162</v>
      </c>
    </row>
    <row r="31" spans="1:13" x14ac:dyDescent="0.25">
      <c r="B31" t="s">
        <v>22</v>
      </c>
      <c r="C31">
        <v>31</v>
      </c>
      <c r="D31">
        <v>16</v>
      </c>
      <c r="E31">
        <v>3</v>
      </c>
      <c r="F31">
        <f t="shared" si="1"/>
        <v>0.1875</v>
      </c>
      <c r="H31">
        <f t="shared" si="2"/>
        <v>0.5161290322580645</v>
      </c>
    </row>
    <row r="32" spans="1:13" x14ac:dyDescent="0.25">
      <c r="B32" t="s">
        <v>23</v>
      </c>
      <c r="C32">
        <v>31</v>
      </c>
      <c r="D32">
        <v>21</v>
      </c>
      <c r="E32">
        <v>13</v>
      </c>
      <c r="F32">
        <f t="shared" si="1"/>
        <v>0.61904761904761907</v>
      </c>
      <c r="H32">
        <f t="shared" si="2"/>
        <v>0.67741935483870963</v>
      </c>
    </row>
    <row r="33" spans="2:8" x14ac:dyDescent="0.25">
      <c r="B33" t="s">
        <v>24</v>
      </c>
      <c r="C33">
        <v>31</v>
      </c>
      <c r="D33">
        <v>21</v>
      </c>
      <c r="E33">
        <v>5</v>
      </c>
      <c r="F33">
        <f t="shared" si="1"/>
        <v>0.23809523809523808</v>
      </c>
      <c r="H33">
        <f t="shared" si="2"/>
        <v>0.67741935483870963</v>
      </c>
    </row>
    <row r="34" spans="2:8" x14ac:dyDescent="0.25">
      <c r="B34" t="s">
        <v>25</v>
      </c>
      <c r="C34">
        <v>31</v>
      </c>
      <c r="D34">
        <v>12</v>
      </c>
      <c r="E34">
        <v>7</v>
      </c>
      <c r="F34">
        <f t="shared" si="1"/>
        <v>0.58333333333333337</v>
      </c>
      <c r="H34">
        <f t="shared" si="2"/>
        <v>0.38709677419354838</v>
      </c>
    </row>
    <row r="35" spans="2:8" x14ac:dyDescent="0.25">
      <c r="B35" t="s">
        <v>26</v>
      </c>
      <c r="C35">
        <v>31</v>
      </c>
      <c r="D35">
        <v>25</v>
      </c>
      <c r="E35">
        <v>5</v>
      </c>
      <c r="F35">
        <f t="shared" si="1"/>
        <v>0.2</v>
      </c>
      <c r="H35">
        <f t="shared" si="2"/>
        <v>0.80645161290322576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C880-249E-439F-A4BA-7B17F75FF07B}">
  <dimension ref="A1:N42"/>
  <sheetViews>
    <sheetView tabSelected="1" workbookViewId="0">
      <selection activeCell="N33" sqref="N33:N42"/>
    </sheetView>
  </sheetViews>
  <sheetFormatPr defaultRowHeight="15" x14ac:dyDescent="0.25"/>
  <cols>
    <col min="1" max="1" width="50.5703125" bestFit="1" customWidth="1"/>
    <col min="2" max="2" width="15" bestFit="1" customWidth="1"/>
    <col min="10" max="10" width="19.5703125" bestFit="1" customWidth="1"/>
  </cols>
  <sheetData>
    <row r="1" spans="1:11" x14ac:dyDescent="0.25">
      <c r="A1" t="s">
        <v>15</v>
      </c>
    </row>
    <row r="2" spans="1:11" x14ac:dyDescent="0.25">
      <c r="A2" t="s">
        <v>31</v>
      </c>
      <c r="C2" t="s">
        <v>57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29</v>
      </c>
      <c r="K2" t="s">
        <v>135</v>
      </c>
    </row>
    <row r="3" spans="1:11" x14ac:dyDescent="0.25">
      <c r="B3" t="s">
        <v>0</v>
      </c>
      <c r="C3">
        <v>25</v>
      </c>
      <c r="D3">
        <v>25</v>
      </c>
      <c r="E3">
        <v>23</v>
      </c>
      <c r="F3">
        <v>22</v>
      </c>
      <c r="G3">
        <v>21</v>
      </c>
      <c r="H3">
        <v>19</v>
      </c>
      <c r="I3">
        <v>18</v>
      </c>
      <c r="K3">
        <f>I3/C3</f>
        <v>0.72</v>
      </c>
    </row>
    <row r="4" spans="1:11" x14ac:dyDescent="0.25">
      <c r="B4" t="s">
        <v>1</v>
      </c>
      <c r="C4">
        <v>25</v>
      </c>
      <c r="D4">
        <v>25</v>
      </c>
      <c r="E4">
        <v>24</v>
      </c>
      <c r="F4">
        <v>22</v>
      </c>
      <c r="G4">
        <v>20</v>
      </c>
      <c r="H4">
        <v>18</v>
      </c>
      <c r="I4">
        <v>16</v>
      </c>
      <c r="K4">
        <f t="shared" ref="K4:K10" si="0">I4/C4</f>
        <v>0.64</v>
      </c>
    </row>
    <row r="5" spans="1:11" x14ac:dyDescent="0.25">
      <c r="B5" t="s">
        <v>2</v>
      </c>
      <c r="C5">
        <v>25</v>
      </c>
      <c r="D5">
        <v>25</v>
      </c>
      <c r="E5">
        <v>24</v>
      </c>
      <c r="F5">
        <v>22</v>
      </c>
      <c r="G5">
        <v>22</v>
      </c>
      <c r="H5">
        <v>20</v>
      </c>
      <c r="I5">
        <v>18</v>
      </c>
      <c r="K5">
        <f t="shared" si="0"/>
        <v>0.72</v>
      </c>
    </row>
    <row r="6" spans="1:11" x14ac:dyDescent="0.25">
      <c r="B6" t="s">
        <v>3</v>
      </c>
      <c r="C6">
        <v>25</v>
      </c>
      <c r="D6">
        <v>25</v>
      </c>
      <c r="E6">
        <v>24</v>
      </c>
      <c r="F6">
        <v>23</v>
      </c>
      <c r="G6">
        <v>23</v>
      </c>
      <c r="H6">
        <v>22</v>
      </c>
      <c r="I6">
        <v>22</v>
      </c>
      <c r="K6">
        <f t="shared" si="0"/>
        <v>0.88</v>
      </c>
    </row>
    <row r="7" spans="1:11" x14ac:dyDescent="0.25">
      <c r="B7" t="s">
        <v>20</v>
      </c>
      <c r="C7">
        <v>25</v>
      </c>
      <c r="D7">
        <v>25</v>
      </c>
      <c r="E7">
        <v>25</v>
      </c>
      <c r="F7">
        <v>25</v>
      </c>
      <c r="G7">
        <v>24</v>
      </c>
      <c r="H7">
        <v>23</v>
      </c>
      <c r="I7">
        <v>23</v>
      </c>
      <c r="K7">
        <f t="shared" si="0"/>
        <v>0.92</v>
      </c>
    </row>
    <row r="8" spans="1:11" x14ac:dyDescent="0.25">
      <c r="B8" t="s">
        <v>21</v>
      </c>
      <c r="C8">
        <v>25</v>
      </c>
      <c r="D8">
        <v>25</v>
      </c>
      <c r="E8">
        <v>25</v>
      </c>
      <c r="F8">
        <v>25</v>
      </c>
      <c r="G8">
        <v>25</v>
      </c>
      <c r="H8">
        <v>22</v>
      </c>
      <c r="I8">
        <v>19</v>
      </c>
      <c r="K8">
        <f t="shared" si="0"/>
        <v>0.76</v>
      </c>
    </row>
    <row r="9" spans="1:11" x14ac:dyDescent="0.25">
      <c r="B9" t="s">
        <v>22</v>
      </c>
      <c r="C9">
        <v>25</v>
      </c>
      <c r="D9">
        <v>25</v>
      </c>
      <c r="E9">
        <v>23</v>
      </c>
      <c r="F9">
        <v>17</v>
      </c>
      <c r="G9">
        <v>14</v>
      </c>
      <c r="H9">
        <v>13</v>
      </c>
      <c r="I9">
        <v>12</v>
      </c>
      <c r="K9">
        <f t="shared" si="0"/>
        <v>0.48</v>
      </c>
    </row>
    <row r="10" spans="1:11" x14ac:dyDescent="0.25">
      <c r="B10" t="s">
        <v>23</v>
      </c>
      <c r="C10">
        <v>25</v>
      </c>
      <c r="D10">
        <v>25</v>
      </c>
      <c r="E10">
        <v>21</v>
      </c>
      <c r="F10">
        <v>17</v>
      </c>
      <c r="G10">
        <v>14</v>
      </c>
      <c r="H10">
        <v>13</v>
      </c>
      <c r="I10">
        <v>12</v>
      </c>
      <c r="K10">
        <f t="shared" si="0"/>
        <v>0.48</v>
      </c>
    </row>
    <row r="15" spans="1:11" x14ac:dyDescent="0.25">
      <c r="A15" t="s">
        <v>7</v>
      </c>
    </row>
    <row r="16" spans="1:11" x14ac:dyDescent="0.25">
      <c r="A16" t="s">
        <v>132</v>
      </c>
      <c r="C16" t="s">
        <v>57</v>
      </c>
      <c r="D16" t="s">
        <v>9</v>
      </c>
      <c r="E16" t="s">
        <v>10</v>
      </c>
      <c r="F16" t="s">
        <v>11</v>
      </c>
      <c r="G16" t="s">
        <v>12</v>
      </c>
      <c r="H16" t="s">
        <v>13</v>
      </c>
      <c r="I16" t="s">
        <v>29</v>
      </c>
      <c r="K16" t="s">
        <v>135</v>
      </c>
    </row>
    <row r="17" spans="1:14" x14ac:dyDescent="0.25">
      <c r="A17" t="s">
        <v>134</v>
      </c>
      <c r="B17" t="s">
        <v>0</v>
      </c>
      <c r="C17">
        <v>20</v>
      </c>
      <c r="D17">
        <v>20</v>
      </c>
      <c r="E17">
        <v>18</v>
      </c>
      <c r="F17">
        <v>14</v>
      </c>
      <c r="G17">
        <v>13</v>
      </c>
      <c r="H17">
        <v>13</v>
      </c>
      <c r="I17">
        <v>10</v>
      </c>
      <c r="K17">
        <f>I17/C17</f>
        <v>0.5</v>
      </c>
    </row>
    <row r="18" spans="1:14" x14ac:dyDescent="0.25">
      <c r="B18" t="s">
        <v>1</v>
      </c>
      <c r="C18">
        <v>20</v>
      </c>
      <c r="D18">
        <v>20</v>
      </c>
      <c r="E18">
        <v>18</v>
      </c>
      <c r="F18">
        <v>18</v>
      </c>
      <c r="G18">
        <v>17</v>
      </c>
      <c r="H18">
        <v>16</v>
      </c>
      <c r="I18">
        <v>13</v>
      </c>
      <c r="K18">
        <f t="shared" ref="K18:K26" si="1">I18/C18</f>
        <v>0.65</v>
      </c>
    </row>
    <row r="19" spans="1:14" x14ac:dyDescent="0.25">
      <c r="A19" t="s">
        <v>141</v>
      </c>
      <c r="B19" t="s">
        <v>2</v>
      </c>
      <c r="C19">
        <v>20</v>
      </c>
      <c r="D19">
        <v>20</v>
      </c>
      <c r="E19">
        <v>20</v>
      </c>
      <c r="F19">
        <v>19</v>
      </c>
      <c r="G19">
        <v>16</v>
      </c>
      <c r="H19">
        <v>16</v>
      </c>
      <c r="I19">
        <v>9</v>
      </c>
      <c r="K19">
        <f t="shared" si="1"/>
        <v>0.45</v>
      </c>
    </row>
    <row r="20" spans="1:14" x14ac:dyDescent="0.25">
      <c r="B20" t="s">
        <v>3</v>
      </c>
      <c r="C20">
        <v>20</v>
      </c>
      <c r="D20">
        <v>20</v>
      </c>
      <c r="E20">
        <v>20</v>
      </c>
      <c r="F20">
        <v>18</v>
      </c>
      <c r="G20">
        <v>18</v>
      </c>
      <c r="H20">
        <v>18</v>
      </c>
      <c r="I20">
        <v>15</v>
      </c>
      <c r="K20">
        <f t="shared" si="1"/>
        <v>0.75</v>
      </c>
    </row>
    <row r="21" spans="1:14" x14ac:dyDescent="0.25">
      <c r="B21" t="s">
        <v>4</v>
      </c>
      <c r="C21">
        <v>20</v>
      </c>
      <c r="D21">
        <v>20</v>
      </c>
      <c r="E21">
        <v>20</v>
      </c>
      <c r="F21">
        <v>20</v>
      </c>
      <c r="G21">
        <v>20</v>
      </c>
      <c r="H21">
        <v>17</v>
      </c>
      <c r="I21">
        <v>16</v>
      </c>
      <c r="K21">
        <f t="shared" si="1"/>
        <v>0.8</v>
      </c>
    </row>
    <row r="22" spans="1:14" x14ac:dyDescent="0.25">
      <c r="B22" t="s">
        <v>20</v>
      </c>
      <c r="C22">
        <v>20</v>
      </c>
      <c r="D22">
        <v>20</v>
      </c>
      <c r="E22">
        <v>17</v>
      </c>
      <c r="F22">
        <v>17</v>
      </c>
      <c r="G22">
        <v>14</v>
      </c>
      <c r="H22">
        <v>11</v>
      </c>
      <c r="I22">
        <v>10</v>
      </c>
      <c r="K22">
        <f t="shared" si="1"/>
        <v>0.5</v>
      </c>
    </row>
    <row r="23" spans="1:14" x14ac:dyDescent="0.25">
      <c r="B23" t="s">
        <v>21</v>
      </c>
      <c r="C23">
        <v>20</v>
      </c>
      <c r="D23">
        <v>20</v>
      </c>
      <c r="E23">
        <v>20</v>
      </c>
      <c r="F23">
        <v>20</v>
      </c>
      <c r="G23">
        <v>19</v>
      </c>
      <c r="H23">
        <v>15</v>
      </c>
      <c r="I23">
        <v>14</v>
      </c>
      <c r="K23">
        <f t="shared" si="1"/>
        <v>0.7</v>
      </c>
    </row>
    <row r="24" spans="1:14" x14ac:dyDescent="0.25">
      <c r="B24" t="s">
        <v>22</v>
      </c>
      <c r="C24">
        <v>20</v>
      </c>
      <c r="D24">
        <v>20</v>
      </c>
      <c r="E24">
        <v>18</v>
      </c>
      <c r="F24">
        <v>17</v>
      </c>
      <c r="G24">
        <v>16</v>
      </c>
      <c r="H24">
        <v>15</v>
      </c>
      <c r="I24">
        <v>14</v>
      </c>
      <c r="K24">
        <f t="shared" si="1"/>
        <v>0.7</v>
      </c>
    </row>
    <row r="25" spans="1:14" x14ac:dyDescent="0.25">
      <c r="B25" t="s">
        <v>23</v>
      </c>
      <c r="C25">
        <v>20</v>
      </c>
      <c r="D25">
        <v>20</v>
      </c>
      <c r="E25">
        <v>19</v>
      </c>
      <c r="F25">
        <v>19</v>
      </c>
      <c r="G25">
        <v>17</v>
      </c>
      <c r="H25">
        <v>14</v>
      </c>
      <c r="I25">
        <v>14</v>
      </c>
      <c r="K25">
        <f t="shared" si="1"/>
        <v>0.7</v>
      </c>
    </row>
    <row r="26" spans="1:14" x14ac:dyDescent="0.25">
      <c r="B26" t="s">
        <v>24</v>
      </c>
      <c r="C26">
        <v>20</v>
      </c>
      <c r="D26">
        <v>20</v>
      </c>
      <c r="E26">
        <v>19</v>
      </c>
      <c r="F26">
        <v>19</v>
      </c>
      <c r="G26">
        <v>19</v>
      </c>
      <c r="H26">
        <v>18</v>
      </c>
      <c r="I26">
        <v>13</v>
      </c>
      <c r="K26">
        <f t="shared" si="1"/>
        <v>0.65</v>
      </c>
    </row>
    <row r="31" spans="1:14" x14ac:dyDescent="0.25">
      <c r="A31" t="s">
        <v>32</v>
      </c>
    </row>
    <row r="32" spans="1:14" x14ac:dyDescent="0.25">
      <c r="A32" t="s">
        <v>132</v>
      </c>
      <c r="C32" t="s">
        <v>57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33</v>
      </c>
      <c r="J32" t="s">
        <v>67</v>
      </c>
      <c r="K32" t="s">
        <v>66</v>
      </c>
      <c r="L32" t="s">
        <v>36</v>
      </c>
      <c r="N32" t="s">
        <v>135</v>
      </c>
    </row>
    <row r="33" spans="1:14" x14ac:dyDescent="0.25">
      <c r="A33" t="s">
        <v>133</v>
      </c>
      <c r="B33" t="s">
        <v>0</v>
      </c>
      <c r="C33">
        <v>20</v>
      </c>
      <c r="D33">
        <v>20</v>
      </c>
      <c r="E33">
        <v>20</v>
      </c>
      <c r="F33">
        <v>20</v>
      </c>
      <c r="G33">
        <v>19</v>
      </c>
      <c r="H33">
        <v>17</v>
      </c>
      <c r="I33">
        <v>16</v>
      </c>
      <c r="J33">
        <v>15</v>
      </c>
      <c r="K33">
        <v>6</v>
      </c>
      <c r="L33">
        <f>K33/J33</f>
        <v>0.4</v>
      </c>
      <c r="N33">
        <f>I33/C33</f>
        <v>0.8</v>
      </c>
    </row>
    <row r="34" spans="1:14" x14ac:dyDescent="0.25">
      <c r="B34" t="s">
        <v>1</v>
      </c>
      <c r="C34">
        <v>20</v>
      </c>
      <c r="D34">
        <v>20</v>
      </c>
      <c r="E34">
        <v>20</v>
      </c>
      <c r="F34">
        <v>20</v>
      </c>
      <c r="G34">
        <v>15</v>
      </c>
      <c r="H34">
        <v>13</v>
      </c>
      <c r="I34">
        <v>11</v>
      </c>
      <c r="J34">
        <v>11</v>
      </c>
      <c r="K34">
        <v>3</v>
      </c>
      <c r="L34">
        <f t="shared" ref="L34:L42" si="2">K34/J34</f>
        <v>0.27272727272727271</v>
      </c>
      <c r="N34">
        <f t="shared" ref="N34:N42" si="3">I34/C34</f>
        <v>0.55000000000000004</v>
      </c>
    </row>
    <row r="35" spans="1:14" x14ac:dyDescent="0.25">
      <c r="B35" t="s">
        <v>2</v>
      </c>
      <c r="C35">
        <v>20</v>
      </c>
      <c r="D35">
        <v>20</v>
      </c>
      <c r="E35">
        <v>20</v>
      </c>
      <c r="F35">
        <v>20</v>
      </c>
      <c r="G35">
        <v>19</v>
      </c>
      <c r="H35">
        <v>16</v>
      </c>
      <c r="I35">
        <v>8</v>
      </c>
      <c r="J35">
        <v>8</v>
      </c>
      <c r="K35">
        <v>0</v>
      </c>
      <c r="L35">
        <f t="shared" si="2"/>
        <v>0</v>
      </c>
      <c r="N35">
        <f t="shared" si="3"/>
        <v>0.4</v>
      </c>
    </row>
    <row r="36" spans="1:14" x14ac:dyDescent="0.25">
      <c r="B36" t="s">
        <v>3</v>
      </c>
      <c r="C36">
        <v>21</v>
      </c>
      <c r="D36">
        <v>21</v>
      </c>
      <c r="E36">
        <v>21</v>
      </c>
      <c r="F36">
        <v>20</v>
      </c>
      <c r="G36">
        <v>18</v>
      </c>
      <c r="H36">
        <v>18</v>
      </c>
      <c r="I36">
        <v>18</v>
      </c>
      <c r="J36">
        <v>18</v>
      </c>
      <c r="K36">
        <v>4</v>
      </c>
      <c r="L36">
        <f t="shared" si="2"/>
        <v>0.22222222222222221</v>
      </c>
      <c r="N36">
        <f t="shared" si="3"/>
        <v>0.8571428571428571</v>
      </c>
    </row>
    <row r="37" spans="1:14" x14ac:dyDescent="0.25">
      <c r="B37" t="s">
        <v>4</v>
      </c>
      <c r="C37">
        <v>20</v>
      </c>
      <c r="D37">
        <v>20</v>
      </c>
      <c r="E37">
        <v>20</v>
      </c>
      <c r="F37">
        <v>17</v>
      </c>
      <c r="G37">
        <v>17</v>
      </c>
      <c r="H37">
        <v>16</v>
      </c>
      <c r="I37">
        <v>16</v>
      </c>
      <c r="J37">
        <v>12</v>
      </c>
      <c r="K37">
        <v>1</v>
      </c>
      <c r="L37">
        <f t="shared" si="2"/>
        <v>8.3333333333333329E-2</v>
      </c>
      <c r="N37">
        <f t="shared" si="3"/>
        <v>0.8</v>
      </c>
    </row>
    <row r="38" spans="1:14" x14ac:dyDescent="0.25">
      <c r="B38" t="s">
        <v>20</v>
      </c>
      <c r="C38">
        <v>20</v>
      </c>
      <c r="D38">
        <v>20</v>
      </c>
      <c r="E38">
        <v>20</v>
      </c>
      <c r="F38">
        <v>18</v>
      </c>
      <c r="G38">
        <v>14</v>
      </c>
      <c r="H38">
        <v>11</v>
      </c>
      <c r="I38">
        <v>10</v>
      </c>
      <c r="J38">
        <v>10</v>
      </c>
      <c r="K38">
        <v>7</v>
      </c>
      <c r="L38">
        <f t="shared" si="2"/>
        <v>0.7</v>
      </c>
      <c r="N38">
        <f t="shared" si="3"/>
        <v>0.5</v>
      </c>
    </row>
    <row r="39" spans="1:14" x14ac:dyDescent="0.25">
      <c r="B39" t="s">
        <v>21</v>
      </c>
      <c r="C39">
        <v>20</v>
      </c>
      <c r="D39">
        <v>20</v>
      </c>
      <c r="E39">
        <v>20</v>
      </c>
      <c r="F39">
        <v>19</v>
      </c>
      <c r="G39">
        <v>19</v>
      </c>
      <c r="H39">
        <v>18</v>
      </c>
      <c r="I39">
        <v>13</v>
      </c>
      <c r="J39">
        <v>11</v>
      </c>
      <c r="K39">
        <v>3</v>
      </c>
      <c r="L39">
        <f t="shared" si="2"/>
        <v>0.27272727272727271</v>
      </c>
      <c r="N39">
        <f t="shared" si="3"/>
        <v>0.65</v>
      </c>
    </row>
    <row r="40" spans="1:14" x14ac:dyDescent="0.25">
      <c r="B40" t="s">
        <v>22</v>
      </c>
      <c r="C40">
        <v>21</v>
      </c>
      <c r="D40">
        <v>21</v>
      </c>
      <c r="E40">
        <v>21</v>
      </c>
      <c r="F40">
        <v>21</v>
      </c>
      <c r="G40">
        <v>18</v>
      </c>
      <c r="H40">
        <v>15</v>
      </c>
      <c r="I40">
        <v>11</v>
      </c>
      <c r="J40">
        <v>11</v>
      </c>
      <c r="K40">
        <v>6</v>
      </c>
      <c r="L40">
        <f t="shared" si="2"/>
        <v>0.54545454545454541</v>
      </c>
      <c r="N40">
        <f t="shared" si="3"/>
        <v>0.52380952380952384</v>
      </c>
    </row>
    <row r="41" spans="1:14" x14ac:dyDescent="0.25">
      <c r="B41" t="s">
        <v>23</v>
      </c>
      <c r="C41">
        <v>20</v>
      </c>
      <c r="D41">
        <v>20</v>
      </c>
      <c r="E41">
        <v>20</v>
      </c>
      <c r="F41">
        <v>20</v>
      </c>
      <c r="G41">
        <v>20</v>
      </c>
      <c r="H41">
        <v>19</v>
      </c>
      <c r="I41">
        <v>18</v>
      </c>
      <c r="J41">
        <v>18</v>
      </c>
      <c r="K41">
        <v>5</v>
      </c>
      <c r="L41">
        <f t="shared" si="2"/>
        <v>0.27777777777777779</v>
      </c>
      <c r="N41">
        <f t="shared" si="3"/>
        <v>0.9</v>
      </c>
    </row>
    <row r="42" spans="1:14" x14ac:dyDescent="0.25">
      <c r="B42" t="s">
        <v>24</v>
      </c>
      <c r="C42">
        <v>20</v>
      </c>
      <c r="D42">
        <v>20</v>
      </c>
      <c r="E42">
        <v>20</v>
      </c>
      <c r="F42">
        <v>14</v>
      </c>
      <c r="G42">
        <v>12</v>
      </c>
      <c r="H42">
        <v>12</v>
      </c>
      <c r="I42">
        <v>12</v>
      </c>
      <c r="J42">
        <v>10</v>
      </c>
      <c r="K42">
        <v>6</v>
      </c>
      <c r="L42">
        <f t="shared" si="2"/>
        <v>0.6</v>
      </c>
      <c r="N42">
        <f>I42/C42</f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exp 1</vt:lpstr>
      <vt:lpstr>exp 2 filtered guts</vt:lpstr>
      <vt:lpstr>exp 3 hormesis - add to gut</vt:lpstr>
      <vt:lpstr>exp 4 hormesis - add to food</vt:lpstr>
      <vt:lpstr>exp 5</vt:lpstr>
      <vt:lpstr>exp 6</vt:lpstr>
      <vt:lpstr>exp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vienna.kowallik</dc:creator>
  <cp:lastModifiedBy>vienna.kowallik</cp:lastModifiedBy>
  <dcterms:created xsi:type="dcterms:W3CDTF">2023-10-30T11:33:55Z</dcterms:created>
  <dcterms:modified xsi:type="dcterms:W3CDTF">2026-01-14T14:51:32Z</dcterms:modified>
</cp:coreProperties>
</file>